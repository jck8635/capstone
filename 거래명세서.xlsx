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82103\Desktop\주찬결\"/>
    </mc:Choice>
  </mc:AlternateContent>
  <xr:revisionPtr revIDLastSave="0" documentId="13_ncr:1_{99B04501-F2D5-42C7-A5EA-ED52E84A0B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운반비" sheetId="20" r:id="rId1"/>
  </sheets>
  <definedNames>
    <definedName name="_xlnm.Print_Area" localSheetId="0">운반비!$A$1:$K$11</definedName>
    <definedName name="_xlnm.Print_Titles" localSheetId="0">운반비!$8:$8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0" l="1"/>
  <c r="F9" i="20" s="1"/>
  <c r="A9" i="20"/>
  <c r="D11" i="20" l="1"/>
  <c r="G9" i="20"/>
  <c r="F11" i="20" l="1"/>
  <c r="I9" i="20"/>
  <c r="G11" i="20"/>
  <c r="I11" i="20" l="1"/>
  <c r="D7" i="20" s="1"/>
</calcChain>
</file>

<file path=xl/sharedStrings.xml><?xml version="1.0" encoding="utf-8"?>
<sst xmlns="http://schemas.openxmlformats.org/spreadsheetml/2006/main" count="26" uniqueCount="26">
  <si>
    <t>공
급
자</t>
    <phoneticPr fontId="2" type="noConversion"/>
  </si>
  <si>
    <t>상호</t>
    <phoneticPr fontId="2" type="noConversion"/>
  </si>
  <si>
    <t>성명</t>
    <phoneticPr fontId="2" type="noConversion"/>
  </si>
  <si>
    <t>주소</t>
    <phoneticPr fontId="2" type="noConversion"/>
  </si>
  <si>
    <t>업태</t>
    <phoneticPr fontId="2" type="noConversion"/>
  </si>
  <si>
    <t>종목</t>
    <phoneticPr fontId="2" type="noConversion"/>
  </si>
  <si>
    <t>전화</t>
    <phoneticPr fontId="2" type="noConversion"/>
  </si>
  <si>
    <t>거 래 명 세 서</t>
    <phoneticPr fontId="2" type="noConversion"/>
  </si>
  <si>
    <t>NO</t>
    <phoneticPr fontId="2" type="noConversion"/>
  </si>
  <si>
    <t>품   명</t>
    <phoneticPr fontId="2" type="noConversion"/>
  </si>
  <si>
    <t>규격</t>
    <phoneticPr fontId="2" type="noConversion"/>
  </si>
  <si>
    <t>등록번호</t>
    <phoneticPr fontId="2" type="noConversion"/>
  </si>
  <si>
    <t>서비스</t>
    <phoneticPr fontId="2" type="noConversion"/>
  </si>
  <si>
    <t>폐기물수집운반업</t>
    <phoneticPr fontId="2" type="noConversion"/>
  </si>
  <si>
    <t>수량</t>
    <phoneticPr fontId="2" type="noConversion"/>
  </si>
  <si>
    <t>합계금액</t>
    <phoneticPr fontId="2" type="noConversion"/>
  </si>
  <si>
    <t>권 창 구</t>
    <phoneticPr fontId="2" type="noConversion"/>
  </si>
  <si>
    <t xml:space="preserve"> </t>
    <phoneticPr fontId="2" type="noConversion"/>
  </si>
  <si>
    <t>tel:031-433-3911, 031-434-3912                         fax:031-433-6915</t>
    <phoneticPr fontId="2" type="noConversion"/>
  </si>
  <si>
    <t>㈜씨에스그린</t>
    <phoneticPr fontId="2" type="noConversion"/>
  </si>
  <si>
    <t>단가</t>
    <phoneticPr fontId="2" type="noConversion"/>
  </si>
  <si>
    <t>공급가액</t>
    <phoneticPr fontId="2" type="noConversion"/>
  </si>
  <si>
    <t>세액</t>
    <phoneticPr fontId="2" type="noConversion"/>
  </si>
  <si>
    <t>합계</t>
    <phoneticPr fontId="2" type="noConversion"/>
  </si>
  <si>
    <t>경기도 시흥시 서울대학로278번길 21, 707호
(배곧동, 새롬프라자2)</t>
    <phoneticPr fontId="2" type="noConversion"/>
  </si>
  <si>
    <t>합계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</si>
</sst>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yyyy&quot;년&quot;\ m&quot;월&quot;\ d&quot;일&quot;"/>
    <numFmt numFmtId="177" formatCode="#,##0_ "/>
    <numFmt numFmtId="178" formatCode="&quot;₩&quot;#,##0_);\(&quot;₩&quot;#,##0\)"/>
    <numFmt numFmtId="179" formatCode="m&quot;월&quot;\ d&quot;일&quot;;@"/>
    <numFmt numFmtId="180" formatCode="#,##0;[Red]#,##0"/>
    <numFmt numFmtId="181" formatCode="_-* #,##0.00_-;\-* #,##0.00_-;_-* &quot;-&quot;_-;_-@_-"/>
    <numFmt numFmtId="182" formatCode="yyyy\-mm\-dd"/>
    <numFmt numFmtId="183" formatCode="#,##0.000"/>
    <numFmt numFmtId="184" formatCode="0.000_);[Red]\(0.000\)"/>
  </numFmts>
  <fonts count="37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굴림체"/>
      <family val="3"/>
      <charset val="129"/>
    </font>
    <font>
      <b/>
      <sz val="14"/>
      <name val="굴림체"/>
      <family val="3"/>
      <charset val="129"/>
    </font>
    <font>
      <sz val="10"/>
      <name val="굴림체"/>
      <family val="3"/>
      <charset val="129"/>
    </font>
    <font>
      <sz val="9"/>
      <name val="굴림체"/>
      <family val="3"/>
      <charset val="129"/>
    </font>
    <font>
      <b/>
      <sz val="24"/>
      <name val="돋움"/>
      <family val="3"/>
      <charset val="129"/>
    </font>
    <font>
      <b/>
      <sz val="14"/>
      <name val="돋움"/>
      <family val="3"/>
      <charset val="129"/>
    </font>
    <font>
      <b/>
      <sz val="12"/>
      <name val="굴림체"/>
      <family val="3"/>
      <charset val="129"/>
    </font>
    <font>
      <sz val="11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돋움"/>
      <family val="3"/>
      <charset val="129"/>
    </font>
    <font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color rgb="FF000000"/>
      <name val="Malgun Gothic"/>
      <family val="2"/>
      <charset val="129"/>
    </font>
    <font>
      <b/>
      <sz val="16"/>
      <name val="굴림체"/>
      <family val="3"/>
      <charset val="129"/>
    </font>
    <font>
      <sz val="10"/>
      <name val="맑은 고딕"/>
      <family val="3"/>
      <charset val="129"/>
      <scheme val="major"/>
    </font>
    <font>
      <sz val="12"/>
      <color rgb="FF000000"/>
      <name val="맑은 고딕"/>
      <family val="3"/>
      <charset val="129"/>
      <scheme val="major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57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32" applyNumberFormat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" fillId="21" borderId="33" applyNumberFormat="0" applyFont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3" borderId="34" applyNumberFormat="0" applyAlignment="0" applyProtection="0">
      <alignment vertical="center"/>
    </xf>
    <xf numFmtId="0" fontId="24" fillId="0" borderId="35" applyNumberFormat="0" applyFill="0" applyAlignment="0" applyProtection="0">
      <alignment vertical="center"/>
    </xf>
    <xf numFmtId="0" fontId="25" fillId="0" borderId="36" applyNumberFormat="0" applyFill="0" applyAlignment="0" applyProtection="0">
      <alignment vertical="center"/>
    </xf>
    <xf numFmtId="0" fontId="26" fillId="7" borderId="32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37" applyNumberFormat="0" applyFill="0" applyAlignment="0" applyProtection="0">
      <alignment vertical="center"/>
    </xf>
    <xf numFmtId="0" fontId="29" fillId="0" borderId="38" applyNumberFormat="0" applyFill="0" applyAlignment="0" applyProtection="0">
      <alignment vertical="center"/>
    </xf>
    <xf numFmtId="0" fontId="30" fillId="0" borderId="3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2" fillId="20" borderId="40" applyNumberFormat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32" applyNumberFormat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" fillId="21" borderId="33" applyNumberFormat="0" applyFont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3" borderId="34" applyNumberFormat="0" applyAlignment="0" applyProtection="0">
      <alignment vertical="center"/>
    </xf>
    <xf numFmtId="0" fontId="24" fillId="0" borderId="35" applyNumberFormat="0" applyFill="0" applyAlignment="0" applyProtection="0">
      <alignment vertical="center"/>
    </xf>
    <xf numFmtId="0" fontId="25" fillId="0" borderId="36" applyNumberFormat="0" applyFill="0" applyAlignment="0" applyProtection="0">
      <alignment vertical="center"/>
    </xf>
    <xf numFmtId="0" fontId="26" fillId="7" borderId="32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37" applyNumberFormat="0" applyFill="0" applyAlignment="0" applyProtection="0">
      <alignment vertical="center"/>
    </xf>
    <xf numFmtId="0" fontId="29" fillId="0" borderId="38" applyNumberFormat="0" applyFill="0" applyAlignment="0" applyProtection="0">
      <alignment vertical="center"/>
    </xf>
    <xf numFmtId="0" fontId="30" fillId="0" borderId="3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2" fillId="20" borderId="40" applyNumberFormat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32" applyNumberFormat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" fillId="21" borderId="33" applyNumberFormat="0" applyFont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3" borderId="34" applyNumberFormat="0" applyAlignment="0" applyProtection="0">
      <alignment vertical="center"/>
    </xf>
    <xf numFmtId="41" fontId="1" fillId="0" borderId="0" applyFont="0" applyFill="0" applyBorder="0" applyAlignment="0" applyProtection="0"/>
    <xf numFmtId="0" fontId="24" fillId="0" borderId="35" applyNumberFormat="0" applyFill="0" applyAlignment="0" applyProtection="0">
      <alignment vertical="center"/>
    </xf>
    <xf numFmtId="0" fontId="25" fillId="0" borderId="36" applyNumberFormat="0" applyFill="0" applyAlignment="0" applyProtection="0">
      <alignment vertical="center"/>
    </xf>
    <xf numFmtId="0" fontId="26" fillId="7" borderId="32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37" applyNumberFormat="0" applyFill="0" applyAlignment="0" applyProtection="0">
      <alignment vertical="center"/>
    </xf>
    <xf numFmtId="0" fontId="29" fillId="0" borderId="38" applyNumberFormat="0" applyFill="0" applyAlignment="0" applyProtection="0">
      <alignment vertical="center"/>
    </xf>
    <xf numFmtId="0" fontId="30" fillId="0" borderId="3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2" fillId="20" borderId="40" applyNumberFormat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32" applyNumberFormat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" fillId="21" borderId="33" applyNumberFormat="0" applyFont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3" borderId="34" applyNumberFormat="0" applyAlignment="0" applyProtection="0">
      <alignment vertical="center"/>
    </xf>
    <xf numFmtId="41" fontId="1" fillId="0" borderId="0" applyFont="0" applyFill="0" applyBorder="0" applyAlignment="0" applyProtection="0"/>
    <xf numFmtId="0" fontId="24" fillId="0" borderId="35" applyNumberFormat="0" applyFill="0" applyAlignment="0" applyProtection="0">
      <alignment vertical="center"/>
    </xf>
    <xf numFmtId="0" fontId="25" fillId="0" borderId="36" applyNumberFormat="0" applyFill="0" applyAlignment="0" applyProtection="0">
      <alignment vertical="center"/>
    </xf>
    <xf numFmtId="0" fontId="26" fillId="7" borderId="32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37" applyNumberFormat="0" applyFill="0" applyAlignment="0" applyProtection="0">
      <alignment vertical="center"/>
    </xf>
    <xf numFmtId="0" fontId="29" fillId="0" borderId="38" applyNumberFormat="0" applyFill="0" applyAlignment="0" applyProtection="0">
      <alignment vertical="center"/>
    </xf>
    <xf numFmtId="0" fontId="30" fillId="0" borderId="3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2" fillId="20" borderId="40" applyNumberFormat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32" applyNumberFormat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" fillId="21" borderId="33" applyNumberFormat="0" applyFont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3" borderId="34" applyNumberFormat="0" applyAlignment="0" applyProtection="0">
      <alignment vertical="center"/>
    </xf>
    <xf numFmtId="41" fontId="1" fillId="0" borderId="0" applyFont="0" applyFill="0" applyBorder="0" applyAlignment="0" applyProtection="0"/>
    <xf numFmtId="0" fontId="24" fillId="0" borderId="35" applyNumberFormat="0" applyFill="0" applyAlignment="0" applyProtection="0">
      <alignment vertical="center"/>
    </xf>
    <xf numFmtId="0" fontId="25" fillId="0" borderId="36" applyNumberFormat="0" applyFill="0" applyAlignment="0" applyProtection="0">
      <alignment vertical="center"/>
    </xf>
    <xf numFmtId="0" fontId="26" fillId="7" borderId="32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37" applyNumberFormat="0" applyFill="0" applyAlignment="0" applyProtection="0">
      <alignment vertical="center"/>
    </xf>
    <xf numFmtId="0" fontId="29" fillId="0" borderId="38" applyNumberFormat="0" applyFill="0" applyAlignment="0" applyProtection="0">
      <alignment vertical="center"/>
    </xf>
    <xf numFmtId="0" fontId="30" fillId="0" borderId="3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2" fillId="20" borderId="40" applyNumberFormat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32" applyNumberFormat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" fillId="21" borderId="33" applyNumberFormat="0" applyFont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3" borderId="34" applyNumberFormat="0" applyAlignment="0" applyProtection="0">
      <alignment vertical="center"/>
    </xf>
    <xf numFmtId="41" fontId="1" fillId="0" borderId="0" applyFont="0" applyFill="0" applyBorder="0" applyAlignment="0" applyProtection="0"/>
    <xf numFmtId="0" fontId="24" fillId="0" borderId="35" applyNumberFormat="0" applyFill="0" applyAlignment="0" applyProtection="0">
      <alignment vertical="center"/>
    </xf>
    <xf numFmtId="0" fontId="25" fillId="0" borderId="36" applyNumberFormat="0" applyFill="0" applyAlignment="0" applyProtection="0">
      <alignment vertical="center"/>
    </xf>
    <xf numFmtId="0" fontId="26" fillId="7" borderId="32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37" applyNumberFormat="0" applyFill="0" applyAlignment="0" applyProtection="0">
      <alignment vertical="center"/>
    </xf>
    <xf numFmtId="0" fontId="29" fillId="0" borderId="38" applyNumberFormat="0" applyFill="0" applyAlignment="0" applyProtection="0">
      <alignment vertical="center"/>
    </xf>
    <xf numFmtId="0" fontId="30" fillId="0" borderId="3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2" fillId="20" borderId="40" applyNumberFormat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32" applyNumberFormat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" fillId="21" borderId="33" applyNumberFormat="0" applyFont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3" borderId="34" applyNumberFormat="0" applyAlignment="0" applyProtection="0">
      <alignment vertical="center"/>
    </xf>
    <xf numFmtId="41" fontId="1" fillId="0" borderId="0" applyFont="0" applyFill="0" applyBorder="0" applyAlignment="0" applyProtection="0"/>
    <xf numFmtId="0" fontId="24" fillId="0" borderId="35" applyNumberFormat="0" applyFill="0" applyAlignment="0" applyProtection="0">
      <alignment vertical="center"/>
    </xf>
    <xf numFmtId="0" fontId="25" fillId="0" borderId="36" applyNumberFormat="0" applyFill="0" applyAlignment="0" applyProtection="0">
      <alignment vertical="center"/>
    </xf>
    <xf numFmtId="0" fontId="26" fillId="7" borderId="32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37" applyNumberFormat="0" applyFill="0" applyAlignment="0" applyProtection="0">
      <alignment vertical="center"/>
    </xf>
    <xf numFmtId="0" fontId="29" fillId="0" borderId="38" applyNumberFormat="0" applyFill="0" applyAlignment="0" applyProtection="0">
      <alignment vertical="center"/>
    </xf>
    <xf numFmtId="0" fontId="30" fillId="0" borderId="3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2" fillId="20" borderId="40" applyNumberFormat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32" applyNumberFormat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" fillId="21" borderId="33" applyNumberFormat="0" applyFont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3" borderId="34" applyNumberFormat="0" applyAlignment="0" applyProtection="0">
      <alignment vertical="center"/>
    </xf>
    <xf numFmtId="41" fontId="1" fillId="0" borderId="0" applyFont="0" applyFill="0" applyBorder="0" applyAlignment="0" applyProtection="0"/>
    <xf numFmtId="0" fontId="24" fillId="0" borderId="35" applyNumberFormat="0" applyFill="0" applyAlignment="0" applyProtection="0">
      <alignment vertical="center"/>
    </xf>
    <xf numFmtId="0" fontId="25" fillId="0" borderId="36" applyNumberFormat="0" applyFill="0" applyAlignment="0" applyProtection="0">
      <alignment vertical="center"/>
    </xf>
    <xf numFmtId="0" fontId="26" fillId="7" borderId="32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37" applyNumberFormat="0" applyFill="0" applyAlignment="0" applyProtection="0">
      <alignment vertical="center"/>
    </xf>
    <xf numFmtId="0" fontId="29" fillId="0" borderId="38" applyNumberFormat="0" applyFill="0" applyAlignment="0" applyProtection="0">
      <alignment vertical="center"/>
    </xf>
    <xf numFmtId="0" fontId="30" fillId="0" borderId="3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2" fillId="20" borderId="40" applyNumberFormat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32" applyNumberFormat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" fillId="21" borderId="33" applyNumberFormat="0" applyFont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3" borderId="34" applyNumberFormat="0" applyAlignment="0" applyProtection="0">
      <alignment vertical="center"/>
    </xf>
    <xf numFmtId="41" fontId="1" fillId="0" borderId="0" applyFont="0" applyFill="0" applyBorder="0" applyAlignment="0" applyProtection="0"/>
    <xf numFmtId="0" fontId="24" fillId="0" borderId="35" applyNumberFormat="0" applyFill="0" applyAlignment="0" applyProtection="0">
      <alignment vertical="center"/>
    </xf>
    <xf numFmtId="0" fontId="25" fillId="0" borderId="36" applyNumberFormat="0" applyFill="0" applyAlignment="0" applyProtection="0">
      <alignment vertical="center"/>
    </xf>
    <xf numFmtId="0" fontId="26" fillId="7" borderId="32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37" applyNumberFormat="0" applyFill="0" applyAlignment="0" applyProtection="0">
      <alignment vertical="center"/>
    </xf>
    <xf numFmtId="0" fontId="29" fillId="0" borderId="38" applyNumberFormat="0" applyFill="0" applyAlignment="0" applyProtection="0">
      <alignment vertical="center"/>
    </xf>
    <xf numFmtId="0" fontId="30" fillId="0" borderId="3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2" fillId="20" borderId="40" applyNumberFormat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32" applyNumberFormat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" fillId="21" borderId="33" applyNumberFormat="0" applyFont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3" borderId="34" applyNumberFormat="0" applyAlignment="0" applyProtection="0">
      <alignment vertical="center"/>
    </xf>
    <xf numFmtId="41" fontId="1" fillId="0" borderId="0" applyFont="0" applyFill="0" applyBorder="0" applyAlignment="0" applyProtection="0"/>
    <xf numFmtId="0" fontId="24" fillId="0" borderId="35" applyNumberFormat="0" applyFill="0" applyAlignment="0" applyProtection="0">
      <alignment vertical="center"/>
    </xf>
    <xf numFmtId="0" fontId="25" fillId="0" borderId="36" applyNumberFormat="0" applyFill="0" applyAlignment="0" applyProtection="0">
      <alignment vertical="center"/>
    </xf>
    <xf numFmtId="0" fontId="26" fillId="7" borderId="32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37" applyNumberFormat="0" applyFill="0" applyAlignment="0" applyProtection="0">
      <alignment vertical="center"/>
    </xf>
    <xf numFmtId="0" fontId="29" fillId="0" borderId="38" applyNumberFormat="0" applyFill="0" applyAlignment="0" applyProtection="0">
      <alignment vertical="center"/>
    </xf>
    <xf numFmtId="0" fontId="30" fillId="0" borderId="3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2" fillId="20" borderId="40" applyNumberFormat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</cellStyleXfs>
  <cellXfs count="110">
    <xf numFmtId="0" fontId="0" fillId="0" borderId="0" xfId="0">
      <alignment vertical="center"/>
    </xf>
    <xf numFmtId="0" fontId="3" fillId="0" borderId="0" xfId="0" applyFont="1">
      <alignment vertical="center"/>
    </xf>
    <xf numFmtId="177" fontId="5" fillId="0" borderId="1" xfId="0" applyNumberFormat="1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41" fontId="3" fillId="0" borderId="1" xfId="1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/>
    </xf>
    <xf numFmtId="41" fontId="1" fillId="0" borderId="0" xfId="1" applyFill="1" applyAlignment="1">
      <alignment horizontal="center"/>
    </xf>
    <xf numFmtId="41" fontId="1" fillId="0" borderId="0" xfId="1" applyFill="1" applyAlignment="1"/>
    <xf numFmtId="41" fontId="1" fillId="0" borderId="0" xfId="1" applyAlignment="1">
      <alignment horizontal="center"/>
    </xf>
    <xf numFmtId="41" fontId="1" fillId="0" borderId="0" xfId="1" applyAlignment="1"/>
    <xf numFmtId="49" fontId="10" fillId="0" borderId="4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41" fontId="10" fillId="0" borderId="6" xfId="1" applyFont="1" applyBorder="1" applyAlignment="1">
      <alignment horizontal="center" vertical="center"/>
    </xf>
    <xf numFmtId="41" fontId="10" fillId="0" borderId="3" xfId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79" fontId="14" fillId="0" borderId="11" xfId="0" applyNumberFormat="1" applyFont="1" applyBorder="1" applyAlignment="1">
      <alignment horizontal="center" vertical="center"/>
    </xf>
    <xf numFmtId="180" fontId="0" fillId="0" borderId="0" xfId="0" applyNumberFormat="1">
      <alignment vertical="center"/>
    </xf>
    <xf numFmtId="10" fontId="0" fillId="0" borderId="0" xfId="0" applyNumberFormat="1">
      <alignment vertical="center"/>
    </xf>
    <xf numFmtId="181" fontId="1" fillId="0" borderId="0" xfId="1" applyNumberFormat="1" applyFill="1" applyAlignment="1">
      <alignment horizontal="center"/>
    </xf>
    <xf numFmtId="180" fontId="3" fillId="0" borderId="0" xfId="0" applyNumberFormat="1" applyFont="1">
      <alignment vertical="center"/>
    </xf>
    <xf numFmtId="41" fontId="0" fillId="0" borderId="0" xfId="1" applyFont="1" applyAlignment="1">
      <alignment vertical="center"/>
    </xf>
    <xf numFmtId="41" fontId="3" fillId="0" borderId="0" xfId="1" applyFont="1" applyAlignment="1">
      <alignment vertical="center"/>
    </xf>
    <xf numFmtId="41" fontId="0" fillId="0" borderId="0" xfId="1" applyFont="1" applyFill="1">
      <alignment vertical="center"/>
    </xf>
    <xf numFmtId="41" fontId="0" fillId="0" borderId="0" xfId="1" applyFont="1">
      <alignment vertical="center"/>
    </xf>
    <xf numFmtId="0" fontId="5" fillId="0" borderId="1" xfId="0" applyFont="1" applyBorder="1" applyAlignment="1">
      <alignment horizontal="center" vertical="center"/>
    </xf>
    <xf numFmtId="41" fontId="13" fillId="24" borderId="10" xfId="1" applyFont="1" applyFill="1" applyBorder="1" applyAlignment="1">
      <alignment horizontal="center" vertical="center"/>
    </xf>
    <xf numFmtId="41" fontId="14" fillId="0" borderId="8" xfId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35" fillId="0" borderId="1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182" fontId="36" fillId="0" borderId="1" xfId="0" applyNumberFormat="1" applyFont="1" applyBorder="1" applyAlignment="1">
      <alignment horizontal="center" vertical="center" wrapText="1"/>
    </xf>
    <xf numFmtId="184" fontId="14" fillId="0" borderId="1" xfId="0" applyNumberFormat="1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183" fontId="36" fillId="0" borderId="1" xfId="0" applyNumberFormat="1" applyFont="1" applyBorder="1" applyAlignment="1">
      <alignment horizontal="center" vertical="center" wrapText="1"/>
    </xf>
    <xf numFmtId="41" fontId="14" fillId="0" borderId="50" xfId="1" applyFont="1" applyBorder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82" fontId="36" fillId="0" borderId="0" xfId="0" applyNumberFormat="1" applyFont="1" applyAlignment="1">
      <alignment horizontal="center" vertical="center" wrapText="1"/>
    </xf>
    <xf numFmtId="183" fontId="36" fillId="0" borderId="0" xfId="0" applyNumberFormat="1" applyFont="1" applyAlignment="1">
      <alignment horizontal="center" vertical="center" wrapText="1"/>
    </xf>
    <xf numFmtId="184" fontId="13" fillId="24" borderId="51" xfId="0" applyNumberFormat="1" applyFont="1" applyFill="1" applyBorder="1" applyAlignment="1">
      <alignment horizontal="center" vertical="center"/>
    </xf>
    <xf numFmtId="179" fontId="14" fillId="0" borderId="2" xfId="0" applyNumberFormat="1" applyFont="1" applyBorder="1" applyAlignment="1">
      <alignment horizontal="center" vertical="center"/>
    </xf>
    <xf numFmtId="49" fontId="35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84" fontId="14" fillId="0" borderId="2" xfId="0" applyNumberFormat="1" applyFont="1" applyBorder="1" applyAlignment="1">
      <alignment horizontal="center" vertical="center"/>
    </xf>
    <xf numFmtId="49" fontId="13" fillId="24" borderId="23" xfId="0" applyNumberFormat="1" applyFont="1" applyFill="1" applyBorder="1" applyAlignment="1">
      <alignment horizontal="center" vertical="center"/>
    </xf>
    <xf numFmtId="49" fontId="13" fillId="24" borderId="24" xfId="0" applyNumberFormat="1" applyFont="1" applyFill="1" applyBorder="1" applyAlignment="1">
      <alignment horizontal="center" vertical="center"/>
    </xf>
    <xf numFmtId="49" fontId="13" fillId="24" borderId="25" xfId="0" applyNumberFormat="1" applyFont="1" applyFill="1" applyBorder="1" applyAlignment="1">
      <alignment horizontal="center" vertical="center"/>
    </xf>
    <xf numFmtId="41" fontId="13" fillId="24" borderId="31" xfId="1" applyFont="1" applyFill="1" applyBorder="1" applyAlignment="1">
      <alignment horizontal="center" vertical="center"/>
    </xf>
    <xf numFmtId="41" fontId="13" fillId="24" borderId="9" xfId="1" applyFont="1" applyFill="1" applyBorder="1" applyAlignment="1">
      <alignment horizontal="center" vertical="center"/>
    </xf>
    <xf numFmtId="41" fontId="13" fillId="24" borderId="31" xfId="0" applyNumberFormat="1" applyFont="1" applyFill="1" applyBorder="1" applyAlignment="1">
      <alignment horizontal="center" vertical="center"/>
    </xf>
    <xf numFmtId="41" fontId="13" fillId="24" borderId="13" xfId="0" applyNumberFormat="1" applyFont="1" applyFill="1" applyBorder="1" applyAlignment="1">
      <alignment horizontal="center" vertical="center"/>
    </xf>
    <xf numFmtId="41" fontId="13" fillId="24" borderId="14" xfId="0" applyNumberFormat="1" applyFont="1" applyFill="1" applyBorder="1" applyAlignment="1">
      <alignment horizontal="center" vertical="center"/>
    </xf>
    <xf numFmtId="41" fontId="10" fillId="0" borderId="6" xfId="1" applyFont="1" applyBorder="1" applyAlignment="1">
      <alignment horizontal="center" vertical="center" wrapText="1"/>
    </xf>
    <xf numFmtId="41" fontId="10" fillId="0" borderId="5" xfId="1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41" fontId="14" fillId="0" borderId="41" xfId="1" applyFont="1" applyBorder="1" applyAlignment="1">
      <alignment horizontal="center" vertical="center"/>
    </xf>
    <xf numFmtId="41" fontId="14" fillId="0" borderId="47" xfId="1" applyFont="1" applyBorder="1" applyAlignment="1">
      <alignment horizontal="center" vertical="center"/>
    </xf>
    <xf numFmtId="41" fontId="14" fillId="0" borderId="41" xfId="0" applyNumberFormat="1" applyFont="1" applyBorder="1" applyAlignment="1">
      <alignment horizontal="center" vertical="center" shrinkToFit="1"/>
    </xf>
    <xf numFmtId="41" fontId="14" fillId="0" borderId="42" xfId="0" applyNumberFormat="1" applyFont="1" applyBorder="1" applyAlignment="1">
      <alignment horizontal="center" vertical="center" shrinkToFit="1"/>
    </xf>
    <xf numFmtId="41" fontId="14" fillId="0" borderId="43" xfId="0" applyNumberFormat="1" applyFont="1" applyBorder="1" applyAlignment="1">
      <alignment horizontal="center" vertical="center" shrinkToFit="1"/>
    </xf>
    <xf numFmtId="178" fontId="34" fillId="0" borderId="12" xfId="1" applyNumberFormat="1" applyFont="1" applyBorder="1" applyAlignment="1">
      <alignment horizontal="right" vertical="center" indent="1"/>
    </xf>
    <xf numFmtId="178" fontId="34" fillId="0" borderId="13" xfId="1" applyNumberFormat="1" applyFont="1" applyBorder="1" applyAlignment="1">
      <alignment horizontal="right" vertical="center" indent="1"/>
    </xf>
    <xf numFmtId="178" fontId="34" fillId="0" borderId="14" xfId="1" applyNumberFormat="1" applyFont="1" applyBorder="1" applyAlignment="1">
      <alignment horizontal="right" vertical="center" indent="1"/>
    </xf>
    <xf numFmtId="49" fontId="9" fillId="0" borderId="12" xfId="0" applyNumberFormat="1" applyFont="1" applyBorder="1" applyAlignment="1">
      <alignment horizontal="center" vertical="center"/>
    </xf>
    <xf numFmtId="49" fontId="9" fillId="0" borderId="13" xfId="0" applyNumberFormat="1" applyFont="1" applyBorder="1" applyAlignment="1">
      <alignment horizontal="center" vertical="center"/>
    </xf>
    <xf numFmtId="49" fontId="9" fillId="0" borderId="14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76" fontId="8" fillId="0" borderId="49" xfId="0" applyNumberFormat="1" applyFont="1" applyBorder="1" applyAlignment="1">
      <alignment horizontal="center" vertical="center"/>
    </xf>
    <xf numFmtId="176" fontId="8" fillId="0" borderId="18" xfId="0" applyNumberFormat="1" applyFont="1" applyBorder="1" applyAlignment="1">
      <alignment horizontal="center" vertical="center"/>
    </xf>
    <xf numFmtId="176" fontId="8" fillId="0" borderId="29" xfId="0" applyNumberFormat="1" applyFont="1" applyBorder="1" applyAlignment="1">
      <alignment horizontal="center" vertical="center"/>
    </xf>
    <xf numFmtId="0" fontId="3" fillId="0" borderId="15" xfId="1" applyNumberFormat="1" applyFont="1" applyBorder="1" applyAlignment="1">
      <alignment horizontal="center" vertical="center" wrapText="1"/>
    </xf>
    <xf numFmtId="0" fontId="3" fillId="0" borderId="16" xfId="1" applyNumberFormat="1" applyFont="1" applyBorder="1" applyAlignment="1">
      <alignment horizontal="center" vertical="center" wrapText="1"/>
    </xf>
    <xf numFmtId="0" fontId="3" fillId="0" borderId="17" xfId="1" applyNumberFormat="1" applyFont="1" applyBorder="1" applyAlignment="1">
      <alignment horizontal="center" vertical="center" wrapText="1"/>
    </xf>
    <xf numFmtId="177" fontId="4" fillId="0" borderId="6" xfId="0" applyNumberFormat="1" applyFont="1" applyBorder="1" applyAlignment="1">
      <alignment horizontal="center" vertical="center"/>
    </xf>
    <xf numFmtId="177" fontId="4" fillId="0" borderId="18" xfId="0" applyNumberFormat="1" applyFont="1" applyBorder="1" applyAlignment="1">
      <alignment horizontal="center" vertical="center"/>
    </xf>
    <xf numFmtId="177" fontId="4" fillId="0" borderId="5" xfId="0" applyNumberFormat="1" applyFont="1" applyBorder="1" applyAlignment="1">
      <alignment horizontal="center" vertical="center"/>
    </xf>
    <xf numFmtId="177" fontId="4" fillId="0" borderId="48" xfId="0" applyNumberFormat="1" applyFont="1" applyBorder="1" applyAlignment="1">
      <alignment horizontal="center" vertical="center"/>
    </xf>
    <xf numFmtId="177" fontId="4" fillId="0" borderId="19" xfId="0" applyNumberFormat="1" applyFont="1" applyBorder="1" applyAlignment="1">
      <alignment horizontal="center" vertical="center"/>
    </xf>
    <xf numFmtId="177" fontId="4" fillId="0" borderId="30" xfId="0" applyNumberFormat="1" applyFont="1" applyBorder="1" applyAlignment="1">
      <alignment horizontal="center" vertical="center"/>
    </xf>
    <xf numFmtId="177" fontId="4" fillId="0" borderId="21" xfId="0" applyNumberFormat="1" applyFont="1" applyBorder="1" applyAlignment="1">
      <alignment horizontal="center" vertical="center"/>
    </xf>
    <xf numFmtId="49" fontId="4" fillId="0" borderId="44" xfId="0" applyNumberFormat="1" applyFont="1" applyBorder="1" applyAlignment="1">
      <alignment horizontal="center" vertical="center" wrapText="1"/>
    </xf>
    <xf numFmtId="49" fontId="4" fillId="0" borderId="45" xfId="0" applyNumberFormat="1" applyFont="1" applyBorder="1" applyAlignment="1">
      <alignment horizontal="center" vertical="center" wrapText="1"/>
    </xf>
    <xf numFmtId="49" fontId="4" fillId="0" borderId="46" xfId="0" applyNumberFormat="1" applyFont="1" applyBorder="1" applyAlignment="1">
      <alignment horizontal="center" vertical="center" wrapText="1"/>
    </xf>
    <xf numFmtId="49" fontId="4" fillId="0" borderId="22" xfId="0" applyNumberFormat="1" applyFont="1" applyBorder="1" applyAlignment="1">
      <alignment horizontal="center" vertical="center" wrapText="1"/>
    </xf>
    <xf numFmtId="49" fontId="4" fillId="0" borderId="20" xfId="0" applyNumberFormat="1" applyFont="1" applyBorder="1" applyAlignment="1">
      <alignment horizontal="center" vertical="center" wrapText="1"/>
    </xf>
    <xf numFmtId="49" fontId="4" fillId="0" borderId="21" xfId="0" applyNumberFormat="1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41" fontId="6" fillId="0" borderId="41" xfId="1" applyFont="1" applyBorder="1" applyAlignment="1">
      <alignment horizontal="center" vertical="center" wrapText="1" shrinkToFit="1"/>
    </xf>
    <xf numFmtId="41" fontId="6" fillId="0" borderId="42" xfId="1" applyFont="1" applyBorder="1" applyAlignment="1">
      <alignment horizontal="center" vertical="center" wrapText="1" shrinkToFit="1"/>
    </xf>
    <xf numFmtId="41" fontId="6" fillId="0" borderId="43" xfId="1" applyFont="1" applyBorder="1" applyAlignment="1">
      <alignment horizontal="center" vertical="center" wrapText="1" shrinkToFit="1"/>
    </xf>
    <xf numFmtId="49" fontId="9" fillId="0" borderId="44" xfId="0" applyNumberFormat="1" applyFont="1" applyBorder="1" applyAlignment="1">
      <alignment horizontal="center" vertical="center"/>
    </xf>
    <xf numFmtId="49" fontId="9" fillId="0" borderId="45" xfId="0" applyNumberFormat="1" applyFont="1" applyBorder="1" applyAlignment="1">
      <alignment horizontal="center" vertical="center"/>
    </xf>
    <xf numFmtId="49" fontId="9" fillId="0" borderId="46" xfId="0" applyNumberFormat="1" applyFont="1" applyBorder="1" applyAlignment="1">
      <alignment horizontal="center" vertical="center"/>
    </xf>
    <xf numFmtId="49" fontId="9" fillId="0" borderId="23" xfId="0" applyNumberFormat="1" applyFont="1" applyBorder="1" applyAlignment="1">
      <alignment horizontal="center" vertical="center"/>
    </xf>
    <xf numFmtId="49" fontId="9" fillId="0" borderId="24" xfId="0" applyNumberFormat="1" applyFont="1" applyBorder="1" applyAlignment="1">
      <alignment horizontal="center" vertical="center"/>
    </xf>
    <xf numFmtId="49" fontId="9" fillId="0" borderId="25" xfId="0" applyNumberFormat="1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41" fontId="12" fillId="0" borderId="26" xfId="5" applyNumberFormat="1" applyBorder="1" applyAlignment="1" applyProtection="1">
      <alignment horizontal="center" vertical="center" wrapText="1"/>
    </xf>
    <xf numFmtId="41" fontId="12" fillId="0" borderId="27" xfId="5" applyNumberFormat="1" applyBorder="1" applyAlignment="1" applyProtection="1">
      <alignment horizontal="center" vertical="center" wrapText="1"/>
    </xf>
    <xf numFmtId="41" fontId="12" fillId="0" borderId="28" xfId="5" applyNumberFormat="1" applyBorder="1" applyAlignment="1" applyProtection="1">
      <alignment horizontal="center" vertical="center" wrapText="1"/>
    </xf>
  </cellXfs>
  <cellStyles count="573">
    <cellStyle name="20% - 강조색1 10" xfId="424" xr:uid="{00000000-0005-0000-0000-000000000000}"/>
    <cellStyle name="20% - 강조색1 11" xfId="466" xr:uid="{00000000-0005-0000-0000-000001000000}"/>
    <cellStyle name="20% - 강조색1 2" xfId="90" xr:uid="{00000000-0005-0000-0000-000002000000}"/>
    <cellStyle name="20% - 강조색1 3" xfId="131" xr:uid="{00000000-0005-0000-0000-000003000000}"/>
    <cellStyle name="20% - 강조색1 4" xfId="172" xr:uid="{00000000-0005-0000-0000-000004000000}"/>
    <cellStyle name="20% - 강조색1 5" xfId="214" xr:uid="{00000000-0005-0000-0000-000005000000}"/>
    <cellStyle name="20% - 강조색1 6" xfId="256" xr:uid="{00000000-0005-0000-0000-000006000000}"/>
    <cellStyle name="20% - 강조색1 7" xfId="298" xr:uid="{00000000-0005-0000-0000-000007000000}"/>
    <cellStyle name="20% - 강조색1 8" xfId="340" xr:uid="{00000000-0005-0000-0000-000008000000}"/>
    <cellStyle name="20% - 강조색1 9" xfId="382" xr:uid="{00000000-0005-0000-0000-000009000000}"/>
    <cellStyle name="20% - 강조색2 10" xfId="425" xr:uid="{00000000-0005-0000-0000-00000A000000}"/>
    <cellStyle name="20% - 강조색2 11" xfId="467" xr:uid="{00000000-0005-0000-0000-00000B000000}"/>
    <cellStyle name="20% - 강조색2 2" xfId="91" xr:uid="{00000000-0005-0000-0000-00000C000000}"/>
    <cellStyle name="20% - 강조색2 3" xfId="132" xr:uid="{00000000-0005-0000-0000-00000D000000}"/>
    <cellStyle name="20% - 강조색2 4" xfId="173" xr:uid="{00000000-0005-0000-0000-00000E000000}"/>
    <cellStyle name="20% - 강조색2 5" xfId="215" xr:uid="{00000000-0005-0000-0000-00000F000000}"/>
    <cellStyle name="20% - 강조색2 6" xfId="257" xr:uid="{00000000-0005-0000-0000-000010000000}"/>
    <cellStyle name="20% - 강조색2 7" xfId="299" xr:uid="{00000000-0005-0000-0000-000011000000}"/>
    <cellStyle name="20% - 강조색2 8" xfId="341" xr:uid="{00000000-0005-0000-0000-000012000000}"/>
    <cellStyle name="20% - 강조색2 9" xfId="383" xr:uid="{00000000-0005-0000-0000-000013000000}"/>
    <cellStyle name="20% - 강조색3 10" xfId="426" xr:uid="{00000000-0005-0000-0000-000014000000}"/>
    <cellStyle name="20% - 강조색3 11" xfId="468" xr:uid="{00000000-0005-0000-0000-000015000000}"/>
    <cellStyle name="20% - 강조색3 2" xfId="92" xr:uid="{00000000-0005-0000-0000-000016000000}"/>
    <cellStyle name="20% - 강조색3 3" xfId="133" xr:uid="{00000000-0005-0000-0000-000017000000}"/>
    <cellStyle name="20% - 강조색3 4" xfId="174" xr:uid="{00000000-0005-0000-0000-000018000000}"/>
    <cellStyle name="20% - 강조색3 5" xfId="216" xr:uid="{00000000-0005-0000-0000-000019000000}"/>
    <cellStyle name="20% - 강조색3 6" xfId="258" xr:uid="{00000000-0005-0000-0000-00001A000000}"/>
    <cellStyle name="20% - 강조색3 7" xfId="300" xr:uid="{00000000-0005-0000-0000-00001B000000}"/>
    <cellStyle name="20% - 강조색3 8" xfId="342" xr:uid="{00000000-0005-0000-0000-00001C000000}"/>
    <cellStyle name="20% - 강조색3 9" xfId="384" xr:uid="{00000000-0005-0000-0000-00001D000000}"/>
    <cellStyle name="20% - 강조색4 10" xfId="427" xr:uid="{00000000-0005-0000-0000-00001E000000}"/>
    <cellStyle name="20% - 강조색4 11" xfId="469" xr:uid="{00000000-0005-0000-0000-00001F000000}"/>
    <cellStyle name="20% - 강조색4 2" xfId="93" xr:uid="{00000000-0005-0000-0000-000020000000}"/>
    <cellStyle name="20% - 강조색4 3" xfId="134" xr:uid="{00000000-0005-0000-0000-000021000000}"/>
    <cellStyle name="20% - 강조색4 4" xfId="175" xr:uid="{00000000-0005-0000-0000-000022000000}"/>
    <cellStyle name="20% - 강조색4 5" xfId="217" xr:uid="{00000000-0005-0000-0000-000023000000}"/>
    <cellStyle name="20% - 강조색4 6" xfId="259" xr:uid="{00000000-0005-0000-0000-000024000000}"/>
    <cellStyle name="20% - 강조색4 7" xfId="301" xr:uid="{00000000-0005-0000-0000-000025000000}"/>
    <cellStyle name="20% - 강조색4 8" xfId="343" xr:uid="{00000000-0005-0000-0000-000026000000}"/>
    <cellStyle name="20% - 강조색4 9" xfId="385" xr:uid="{00000000-0005-0000-0000-000027000000}"/>
    <cellStyle name="20% - 강조색5 10" xfId="428" xr:uid="{00000000-0005-0000-0000-000028000000}"/>
    <cellStyle name="20% - 강조색5 11" xfId="470" xr:uid="{00000000-0005-0000-0000-000029000000}"/>
    <cellStyle name="20% - 강조색5 2" xfId="94" xr:uid="{00000000-0005-0000-0000-00002A000000}"/>
    <cellStyle name="20% - 강조색5 3" xfId="135" xr:uid="{00000000-0005-0000-0000-00002B000000}"/>
    <cellStyle name="20% - 강조색5 4" xfId="176" xr:uid="{00000000-0005-0000-0000-00002C000000}"/>
    <cellStyle name="20% - 강조색5 5" xfId="218" xr:uid="{00000000-0005-0000-0000-00002D000000}"/>
    <cellStyle name="20% - 강조색5 6" xfId="260" xr:uid="{00000000-0005-0000-0000-00002E000000}"/>
    <cellStyle name="20% - 강조색5 7" xfId="302" xr:uid="{00000000-0005-0000-0000-00002F000000}"/>
    <cellStyle name="20% - 강조색5 8" xfId="344" xr:uid="{00000000-0005-0000-0000-000030000000}"/>
    <cellStyle name="20% - 강조색5 9" xfId="386" xr:uid="{00000000-0005-0000-0000-000031000000}"/>
    <cellStyle name="20% - 강조색6 10" xfId="429" xr:uid="{00000000-0005-0000-0000-000032000000}"/>
    <cellStyle name="20% - 강조색6 11" xfId="471" xr:uid="{00000000-0005-0000-0000-000033000000}"/>
    <cellStyle name="20% - 강조색6 2" xfId="95" xr:uid="{00000000-0005-0000-0000-000034000000}"/>
    <cellStyle name="20% - 강조색6 3" xfId="136" xr:uid="{00000000-0005-0000-0000-000035000000}"/>
    <cellStyle name="20% - 강조색6 4" xfId="177" xr:uid="{00000000-0005-0000-0000-000036000000}"/>
    <cellStyle name="20% - 강조색6 5" xfId="219" xr:uid="{00000000-0005-0000-0000-000037000000}"/>
    <cellStyle name="20% - 강조색6 6" xfId="261" xr:uid="{00000000-0005-0000-0000-000038000000}"/>
    <cellStyle name="20% - 강조색6 7" xfId="303" xr:uid="{00000000-0005-0000-0000-000039000000}"/>
    <cellStyle name="20% - 강조색6 8" xfId="345" xr:uid="{00000000-0005-0000-0000-00003A000000}"/>
    <cellStyle name="20% - 강조색6 9" xfId="387" xr:uid="{00000000-0005-0000-0000-00003B000000}"/>
    <cellStyle name="40% - 강조색1 10" xfId="430" xr:uid="{00000000-0005-0000-0000-00003C000000}"/>
    <cellStyle name="40% - 강조색1 11" xfId="472" xr:uid="{00000000-0005-0000-0000-00003D000000}"/>
    <cellStyle name="40% - 강조색1 2" xfId="96" xr:uid="{00000000-0005-0000-0000-00003E000000}"/>
    <cellStyle name="40% - 강조색1 3" xfId="137" xr:uid="{00000000-0005-0000-0000-00003F000000}"/>
    <cellStyle name="40% - 강조색1 4" xfId="178" xr:uid="{00000000-0005-0000-0000-000040000000}"/>
    <cellStyle name="40% - 강조색1 5" xfId="220" xr:uid="{00000000-0005-0000-0000-000041000000}"/>
    <cellStyle name="40% - 강조색1 6" xfId="262" xr:uid="{00000000-0005-0000-0000-000042000000}"/>
    <cellStyle name="40% - 강조색1 7" xfId="304" xr:uid="{00000000-0005-0000-0000-000043000000}"/>
    <cellStyle name="40% - 강조색1 8" xfId="346" xr:uid="{00000000-0005-0000-0000-000044000000}"/>
    <cellStyle name="40% - 강조색1 9" xfId="388" xr:uid="{00000000-0005-0000-0000-000045000000}"/>
    <cellStyle name="40% - 강조색2 10" xfId="431" xr:uid="{00000000-0005-0000-0000-000046000000}"/>
    <cellStyle name="40% - 강조색2 11" xfId="473" xr:uid="{00000000-0005-0000-0000-000047000000}"/>
    <cellStyle name="40% - 강조색2 2" xfId="97" xr:uid="{00000000-0005-0000-0000-000048000000}"/>
    <cellStyle name="40% - 강조색2 3" xfId="138" xr:uid="{00000000-0005-0000-0000-000049000000}"/>
    <cellStyle name="40% - 강조색2 4" xfId="179" xr:uid="{00000000-0005-0000-0000-00004A000000}"/>
    <cellStyle name="40% - 강조색2 5" xfId="221" xr:uid="{00000000-0005-0000-0000-00004B000000}"/>
    <cellStyle name="40% - 강조색2 6" xfId="263" xr:uid="{00000000-0005-0000-0000-00004C000000}"/>
    <cellStyle name="40% - 강조색2 7" xfId="305" xr:uid="{00000000-0005-0000-0000-00004D000000}"/>
    <cellStyle name="40% - 강조색2 8" xfId="347" xr:uid="{00000000-0005-0000-0000-00004E000000}"/>
    <cellStyle name="40% - 강조색2 9" xfId="389" xr:uid="{00000000-0005-0000-0000-00004F000000}"/>
    <cellStyle name="40% - 강조색3 10" xfId="432" xr:uid="{00000000-0005-0000-0000-000050000000}"/>
    <cellStyle name="40% - 강조색3 11" xfId="474" xr:uid="{00000000-0005-0000-0000-000051000000}"/>
    <cellStyle name="40% - 강조색3 2" xfId="98" xr:uid="{00000000-0005-0000-0000-000052000000}"/>
    <cellStyle name="40% - 강조색3 3" xfId="139" xr:uid="{00000000-0005-0000-0000-000053000000}"/>
    <cellStyle name="40% - 강조색3 4" xfId="180" xr:uid="{00000000-0005-0000-0000-000054000000}"/>
    <cellStyle name="40% - 강조색3 5" xfId="222" xr:uid="{00000000-0005-0000-0000-000055000000}"/>
    <cellStyle name="40% - 강조색3 6" xfId="264" xr:uid="{00000000-0005-0000-0000-000056000000}"/>
    <cellStyle name="40% - 강조색3 7" xfId="306" xr:uid="{00000000-0005-0000-0000-000057000000}"/>
    <cellStyle name="40% - 강조색3 8" xfId="348" xr:uid="{00000000-0005-0000-0000-000058000000}"/>
    <cellStyle name="40% - 강조색3 9" xfId="390" xr:uid="{00000000-0005-0000-0000-000059000000}"/>
    <cellStyle name="40% - 강조색4 10" xfId="433" xr:uid="{00000000-0005-0000-0000-00005A000000}"/>
    <cellStyle name="40% - 강조색4 11" xfId="475" xr:uid="{00000000-0005-0000-0000-00005B000000}"/>
    <cellStyle name="40% - 강조색4 2" xfId="99" xr:uid="{00000000-0005-0000-0000-00005C000000}"/>
    <cellStyle name="40% - 강조색4 3" xfId="140" xr:uid="{00000000-0005-0000-0000-00005D000000}"/>
    <cellStyle name="40% - 강조색4 4" xfId="181" xr:uid="{00000000-0005-0000-0000-00005E000000}"/>
    <cellStyle name="40% - 강조색4 5" xfId="223" xr:uid="{00000000-0005-0000-0000-00005F000000}"/>
    <cellStyle name="40% - 강조색4 6" xfId="265" xr:uid="{00000000-0005-0000-0000-000060000000}"/>
    <cellStyle name="40% - 강조색4 7" xfId="307" xr:uid="{00000000-0005-0000-0000-000061000000}"/>
    <cellStyle name="40% - 강조색4 8" xfId="349" xr:uid="{00000000-0005-0000-0000-000062000000}"/>
    <cellStyle name="40% - 강조색4 9" xfId="391" xr:uid="{00000000-0005-0000-0000-000063000000}"/>
    <cellStyle name="40% - 강조색5 10" xfId="434" xr:uid="{00000000-0005-0000-0000-000064000000}"/>
    <cellStyle name="40% - 강조색5 11" xfId="476" xr:uid="{00000000-0005-0000-0000-000065000000}"/>
    <cellStyle name="40% - 강조색5 2" xfId="100" xr:uid="{00000000-0005-0000-0000-000066000000}"/>
    <cellStyle name="40% - 강조색5 3" xfId="141" xr:uid="{00000000-0005-0000-0000-000067000000}"/>
    <cellStyle name="40% - 강조색5 4" xfId="182" xr:uid="{00000000-0005-0000-0000-000068000000}"/>
    <cellStyle name="40% - 강조색5 5" xfId="224" xr:uid="{00000000-0005-0000-0000-000069000000}"/>
    <cellStyle name="40% - 강조색5 6" xfId="266" xr:uid="{00000000-0005-0000-0000-00006A000000}"/>
    <cellStyle name="40% - 강조색5 7" xfId="308" xr:uid="{00000000-0005-0000-0000-00006B000000}"/>
    <cellStyle name="40% - 강조색5 8" xfId="350" xr:uid="{00000000-0005-0000-0000-00006C000000}"/>
    <cellStyle name="40% - 강조색5 9" xfId="392" xr:uid="{00000000-0005-0000-0000-00006D000000}"/>
    <cellStyle name="40% - 강조색6 10" xfId="435" xr:uid="{00000000-0005-0000-0000-00006E000000}"/>
    <cellStyle name="40% - 강조색6 11" xfId="477" xr:uid="{00000000-0005-0000-0000-00006F000000}"/>
    <cellStyle name="40% - 강조색6 2" xfId="101" xr:uid="{00000000-0005-0000-0000-000070000000}"/>
    <cellStyle name="40% - 강조색6 3" xfId="142" xr:uid="{00000000-0005-0000-0000-000071000000}"/>
    <cellStyle name="40% - 강조색6 4" xfId="183" xr:uid="{00000000-0005-0000-0000-000072000000}"/>
    <cellStyle name="40% - 강조색6 5" xfId="225" xr:uid="{00000000-0005-0000-0000-000073000000}"/>
    <cellStyle name="40% - 강조색6 6" xfId="267" xr:uid="{00000000-0005-0000-0000-000074000000}"/>
    <cellStyle name="40% - 강조색6 7" xfId="309" xr:uid="{00000000-0005-0000-0000-000075000000}"/>
    <cellStyle name="40% - 강조색6 8" xfId="351" xr:uid="{00000000-0005-0000-0000-000076000000}"/>
    <cellStyle name="40% - 강조색6 9" xfId="393" xr:uid="{00000000-0005-0000-0000-000077000000}"/>
    <cellStyle name="60% - 강조색1 10" xfId="436" xr:uid="{00000000-0005-0000-0000-000078000000}"/>
    <cellStyle name="60% - 강조색1 11" xfId="478" xr:uid="{00000000-0005-0000-0000-000079000000}"/>
    <cellStyle name="60% - 강조색1 2" xfId="102" xr:uid="{00000000-0005-0000-0000-00007A000000}"/>
    <cellStyle name="60% - 강조색1 3" xfId="143" xr:uid="{00000000-0005-0000-0000-00007B000000}"/>
    <cellStyle name="60% - 강조색1 4" xfId="184" xr:uid="{00000000-0005-0000-0000-00007C000000}"/>
    <cellStyle name="60% - 강조색1 5" xfId="226" xr:uid="{00000000-0005-0000-0000-00007D000000}"/>
    <cellStyle name="60% - 강조색1 6" xfId="268" xr:uid="{00000000-0005-0000-0000-00007E000000}"/>
    <cellStyle name="60% - 강조색1 7" xfId="310" xr:uid="{00000000-0005-0000-0000-00007F000000}"/>
    <cellStyle name="60% - 강조색1 8" xfId="352" xr:uid="{00000000-0005-0000-0000-000080000000}"/>
    <cellStyle name="60% - 강조색1 9" xfId="394" xr:uid="{00000000-0005-0000-0000-000081000000}"/>
    <cellStyle name="60% - 강조색2 10" xfId="437" xr:uid="{00000000-0005-0000-0000-000082000000}"/>
    <cellStyle name="60% - 강조색2 11" xfId="479" xr:uid="{00000000-0005-0000-0000-000083000000}"/>
    <cellStyle name="60% - 강조색2 2" xfId="103" xr:uid="{00000000-0005-0000-0000-000084000000}"/>
    <cellStyle name="60% - 강조색2 3" xfId="144" xr:uid="{00000000-0005-0000-0000-000085000000}"/>
    <cellStyle name="60% - 강조색2 4" xfId="185" xr:uid="{00000000-0005-0000-0000-000086000000}"/>
    <cellStyle name="60% - 강조색2 5" xfId="227" xr:uid="{00000000-0005-0000-0000-000087000000}"/>
    <cellStyle name="60% - 강조색2 6" xfId="269" xr:uid="{00000000-0005-0000-0000-000088000000}"/>
    <cellStyle name="60% - 강조색2 7" xfId="311" xr:uid="{00000000-0005-0000-0000-000089000000}"/>
    <cellStyle name="60% - 강조색2 8" xfId="353" xr:uid="{00000000-0005-0000-0000-00008A000000}"/>
    <cellStyle name="60% - 강조색2 9" xfId="395" xr:uid="{00000000-0005-0000-0000-00008B000000}"/>
    <cellStyle name="60% - 강조색3 10" xfId="438" xr:uid="{00000000-0005-0000-0000-00008C000000}"/>
    <cellStyle name="60% - 강조색3 11" xfId="480" xr:uid="{00000000-0005-0000-0000-00008D000000}"/>
    <cellStyle name="60% - 강조색3 2" xfId="104" xr:uid="{00000000-0005-0000-0000-00008E000000}"/>
    <cellStyle name="60% - 강조색3 3" xfId="145" xr:uid="{00000000-0005-0000-0000-00008F000000}"/>
    <cellStyle name="60% - 강조색3 4" xfId="186" xr:uid="{00000000-0005-0000-0000-000090000000}"/>
    <cellStyle name="60% - 강조색3 5" xfId="228" xr:uid="{00000000-0005-0000-0000-000091000000}"/>
    <cellStyle name="60% - 강조색3 6" xfId="270" xr:uid="{00000000-0005-0000-0000-000092000000}"/>
    <cellStyle name="60% - 강조색3 7" xfId="312" xr:uid="{00000000-0005-0000-0000-000093000000}"/>
    <cellStyle name="60% - 강조색3 8" xfId="354" xr:uid="{00000000-0005-0000-0000-000094000000}"/>
    <cellStyle name="60% - 강조색3 9" xfId="396" xr:uid="{00000000-0005-0000-0000-000095000000}"/>
    <cellStyle name="60% - 강조색4 10" xfId="439" xr:uid="{00000000-0005-0000-0000-000096000000}"/>
    <cellStyle name="60% - 강조색4 11" xfId="481" xr:uid="{00000000-0005-0000-0000-000097000000}"/>
    <cellStyle name="60% - 강조색4 2" xfId="105" xr:uid="{00000000-0005-0000-0000-000098000000}"/>
    <cellStyle name="60% - 강조색4 3" xfId="146" xr:uid="{00000000-0005-0000-0000-000099000000}"/>
    <cellStyle name="60% - 강조색4 4" xfId="187" xr:uid="{00000000-0005-0000-0000-00009A000000}"/>
    <cellStyle name="60% - 강조색4 5" xfId="229" xr:uid="{00000000-0005-0000-0000-00009B000000}"/>
    <cellStyle name="60% - 강조색4 6" xfId="271" xr:uid="{00000000-0005-0000-0000-00009C000000}"/>
    <cellStyle name="60% - 강조색4 7" xfId="313" xr:uid="{00000000-0005-0000-0000-00009D000000}"/>
    <cellStyle name="60% - 강조색4 8" xfId="355" xr:uid="{00000000-0005-0000-0000-00009E000000}"/>
    <cellStyle name="60% - 강조색4 9" xfId="397" xr:uid="{00000000-0005-0000-0000-00009F000000}"/>
    <cellStyle name="60% - 강조색5 10" xfId="440" xr:uid="{00000000-0005-0000-0000-0000A0000000}"/>
    <cellStyle name="60% - 강조색5 11" xfId="482" xr:uid="{00000000-0005-0000-0000-0000A1000000}"/>
    <cellStyle name="60% - 강조색5 2" xfId="106" xr:uid="{00000000-0005-0000-0000-0000A2000000}"/>
    <cellStyle name="60% - 강조색5 3" xfId="147" xr:uid="{00000000-0005-0000-0000-0000A3000000}"/>
    <cellStyle name="60% - 강조색5 4" xfId="188" xr:uid="{00000000-0005-0000-0000-0000A4000000}"/>
    <cellStyle name="60% - 강조색5 5" xfId="230" xr:uid="{00000000-0005-0000-0000-0000A5000000}"/>
    <cellStyle name="60% - 강조색5 6" xfId="272" xr:uid="{00000000-0005-0000-0000-0000A6000000}"/>
    <cellStyle name="60% - 강조색5 7" xfId="314" xr:uid="{00000000-0005-0000-0000-0000A7000000}"/>
    <cellStyle name="60% - 강조색5 8" xfId="356" xr:uid="{00000000-0005-0000-0000-0000A8000000}"/>
    <cellStyle name="60% - 강조색5 9" xfId="398" xr:uid="{00000000-0005-0000-0000-0000A9000000}"/>
    <cellStyle name="60% - 강조색6 10" xfId="441" xr:uid="{00000000-0005-0000-0000-0000AA000000}"/>
    <cellStyle name="60% - 강조색6 11" xfId="483" xr:uid="{00000000-0005-0000-0000-0000AB000000}"/>
    <cellStyle name="60% - 강조색6 2" xfId="107" xr:uid="{00000000-0005-0000-0000-0000AC000000}"/>
    <cellStyle name="60% - 강조색6 3" xfId="148" xr:uid="{00000000-0005-0000-0000-0000AD000000}"/>
    <cellStyle name="60% - 강조색6 4" xfId="189" xr:uid="{00000000-0005-0000-0000-0000AE000000}"/>
    <cellStyle name="60% - 강조색6 5" xfId="231" xr:uid="{00000000-0005-0000-0000-0000AF000000}"/>
    <cellStyle name="60% - 강조색6 6" xfId="273" xr:uid="{00000000-0005-0000-0000-0000B0000000}"/>
    <cellStyle name="60% - 강조색6 7" xfId="315" xr:uid="{00000000-0005-0000-0000-0000B1000000}"/>
    <cellStyle name="60% - 강조색6 8" xfId="357" xr:uid="{00000000-0005-0000-0000-0000B2000000}"/>
    <cellStyle name="60% - 강조색6 9" xfId="399" xr:uid="{00000000-0005-0000-0000-0000B3000000}"/>
    <cellStyle name="강조색1 10" xfId="442" xr:uid="{00000000-0005-0000-0000-0000B4000000}"/>
    <cellStyle name="강조색1 11" xfId="484" xr:uid="{00000000-0005-0000-0000-0000B5000000}"/>
    <cellStyle name="강조색1 2" xfId="108" xr:uid="{00000000-0005-0000-0000-0000B6000000}"/>
    <cellStyle name="강조색1 3" xfId="149" xr:uid="{00000000-0005-0000-0000-0000B7000000}"/>
    <cellStyle name="강조색1 4" xfId="190" xr:uid="{00000000-0005-0000-0000-0000B8000000}"/>
    <cellStyle name="강조색1 5" xfId="232" xr:uid="{00000000-0005-0000-0000-0000B9000000}"/>
    <cellStyle name="강조색1 6" xfId="274" xr:uid="{00000000-0005-0000-0000-0000BA000000}"/>
    <cellStyle name="강조색1 7" xfId="316" xr:uid="{00000000-0005-0000-0000-0000BB000000}"/>
    <cellStyle name="강조색1 8" xfId="358" xr:uid="{00000000-0005-0000-0000-0000BC000000}"/>
    <cellStyle name="강조색1 9" xfId="400" xr:uid="{00000000-0005-0000-0000-0000BD000000}"/>
    <cellStyle name="강조색2 10" xfId="443" xr:uid="{00000000-0005-0000-0000-0000BE000000}"/>
    <cellStyle name="강조색2 11" xfId="485" xr:uid="{00000000-0005-0000-0000-0000BF000000}"/>
    <cellStyle name="강조색2 2" xfId="109" xr:uid="{00000000-0005-0000-0000-0000C0000000}"/>
    <cellStyle name="강조색2 3" xfId="150" xr:uid="{00000000-0005-0000-0000-0000C1000000}"/>
    <cellStyle name="강조색2 4" xfId="191" xr:uid="{00000000-0005-0000-0000-0000C2000000}"/>
    <cellStyle name="강조색2 5" xfId="233" xr:uid="{00000000-0005-0000-0000-0000C3000000}"/>
    <cellStyle name="강조색2 6" xfId="275" xr:uid="{00000000-0005-0000-0000-0000C4000000}"/>
    <cellStyle name="강조색2 7" xfId="317" xr:uid="{00000000-0005-0000-0000-0000C5000000}"/>
    <cellStyle name="강조색2 8" xfId="359" xr:uid="{00000000-0005-0000-0000-0000C6000000}"/>
    <cellStyle name="강조색2 9" xfId="401" xr:uid="{00000000-0005-0000-0000-0000C7000000}"/>
    <cellStyle name="강조색3 10" xfId="444" xr:uid="{00000000-0005-0000-0000-0000C8000000}"/>
    <cellStyle name="강조색3 11" xfId="486" xr:uid="{00000000-0005-0000-0000-0000C9000000}"/>
    <cellStyle name="강조색3 2" xfId="110" xr:uid="{00000000-0005-0000-0000-0000CA000000}"/>
    <cellStyle name="강조색3 3" xfId="151" xr:uid="{00000000-0005-0000-0000-0000CB000000}"/>
    <cellStyle name="강조색3 4" xfId="192" xr:uid="{00000000-0005-0000-0000-0000CC000000}"/>
    <cellStyle name="강조색3 5" xfId="234" xr:uid="{00000000-0005-0000-0000-0000CD000000}"/>
    <cellStyle name="강조색3 6" xfId="276" xr:uid="{00000000-0005-0000-0000-0000CE000000}"/>
    <cellStyle name="강조색3 7" xfId="318" xr:uid="{00000000-0005-0000-0000-0000CF000000}"/>
    <cellStyle name="강조색3 8" xfId="360" xr:uid="{00000000-0005-0000-0000-0000D0000000}"/>
    <cellStyle name="강조색3 9" xfId="402" xr:uid="{00000000-0005-0000-0000-0000D1000000}"/>
    <cellStyle name="강조색4 10" xfId="445" xr:uid="{00000000-0005-0000-0000-0000D2000000}"/>
    <cellStyle name="강조색4 11" xfId="487" xr:uid="{00000000-0005-0000-0000-0000D3000000}"/>
    <cellStyle name="강조색4 2" xfId="111" xr:uid="{00000000-0005-0000-0000-0000D4000000}"/>
    <cellStyle name="강조색4 3" xfId="152" xr:uid="{00000000-0005-0000-0000-0000D5000000}"/>
    <cellStyle name="강조색4 4" xfId="193" xr:uid="{00000000-0005-0000-0000-0000D6000000}"/>
    <cellStyle name="강조색4 5" xfId="235" xr:uid="{00000000-0005-0000-0000-0000D7000000}"/>
    <cellStyle name="강조색4 6" xfId="277" xr:uid="{00000000-0005-0000-0000-0000D8000000}"/>
    <cellStyle name="강조색4 7" xfId="319" xr:uid="{00000000-0005-0000-0000-0000D9000000}"/>
    <cellStyle name="강조색4 8" xfId="361" xr:uid="{00000000-0005-0000-0000-0000DA000000}"/>
    <cellStyle name="강조색4 9" xfId="403" xr:uid="{00000000-0005-0000-0000-0000DB000000}"/>
    <cellStyle name="강조색5 10" xfId="446" xr:uid="{00000000-0005-0000-0000-0000DC000000}"/>
    <cellStyle name="강조색5 11" xfId="488" xr:uid="{00000000-0005-0000-0000-0000DD000000}"/>
    <cellStyle name="강조색5 2" xfId="112" xr:uid="{00000000-0005-0000-0000-0000DE000000}"/>
    <cellStyle name="강조색5 3" xfId="153" xr:uid="{00000000-0005-0000-0000-0000DF000000}"/>
    <cellStyle name="강조색5 4" xfId="194" xr:uid="{00000000-0005-0000-0000-0000E0000000}"/>
    <cellStyle name="강조색5 5" xfId="236" xr:uid="{00000000-0005-0000-0000-0000E1000000}"/>
    <cellStyle name="강조색5 6" xfId="278" xr:uid="{00000000-0005-0000-0000-0000E2000000}"/>
    <cellStyle name="강조색5 7" xfId="320" xr:uid="{00000000-0005-0000-0000-0000E3000000}"/>
    <cellStyle name="강조색5 8" xfId="362" xr:uid="{00000000-0005-0000-0000-0000E4000000}"/>
    <cellStyle name="강조색5 9" xfId="404" xr:uid="{00000000-0005-0000-0000-0000E5000000}"/>
    <cellStyle name="강조색6 10" xfId="447" xr:uid="{00000000-0005-0000-0000-0000E6000000}"/>
    <cellStyle name="강조색6 11" xfId="489" xr:uid="{00000000-0005-0000-0000-0000E7000000}"/>
    <cellStyle name="강조색6 2" xfId="113" xr:uid="{00000000-0005-0000-0000-0000E8000000}"/>
    <cellStyle name="강조색6 3" xfId="154" xr:uid="{00000000-0005-0000-0000-0000E9000000}"/>
    <cellStyle name="강조색6 4" xfId="195" xr:uid="{00000000-0005-0000-0000-0000EA000000}"/>
    <cellStyle name="강조색6 5" xfId="237" xr:uid="{00000000-0005-0000-0000-0000EB000000}"/>
    <cellStyle name="강조색6 6" xfId="279" xr:uid="{00000000-0005-0000-0000-0000EC000000}"/>
    <cellStyle name="강조색6 7" xfId="321" xr:uid="{00000000-0005-0000-0000-0000ED000000}"/>
    <cellStyle name="강조색6 8" xfId="363" xr:uid="{00000000-0005-0000-0000-0000EE000000}"/>
    <cellStyle name="강조색6 9" xfId="405" xr:uid="{00000000-0005-0000-0000-0000EF000000}"/>
    <cellStyle name="경고문 10" xfId="448" xr:uid="{00000000-0005-0000-0000-0000F0000000}"/>
    <cellStyle name="경고문 11" xfId="490" xr:uid="{00000000-0005-0000-0000-0000F1000000}"/>
    <cellStyle name="경고문 2" xfId="114" xr:uid="{00000000-0005-0000-0000-0000F2000000}"/>
    <cellStyle name="경고문 3" xfId="155" xr:uid="{00000000-0005-0000-0000-0000F3000000}"/>
    <cellStyle name="경고문 4" xfId="196" xr:uid="{00000000-0005-0000-0000-0000F4000000}"/>
    <cellStyle name="경고문 5" xfId="238" xr:uid="{00000000-0005-0000-0000-0000F5000000}"/>
    <cellStyle name="경고문 6" xfId="280" xr:uid="{00000000-0005-0000-0000-0000F6000000}"/>
    <cellStyle name="경고문 7" xfId="322" xr:uid="{00000000-0005-0000-0000-0000F7000000}"/>
    <cellStyle name="경고문 8" xfId="364" xr:uid="{00000000-0005-0000-0000-0000F8000000}"/>
    <cellStyle name="경고문 9" xfId="406" xr:uid="{00000000-0005-0000-0000-0000F9000000}"/>
    <cellStyle name="계산 10" xfId="449" xr:uid="{00000000-0005-0000-0000-0000FA000000}"/>
    <cellStyle name="계산 11" xfId="491" xr:uid="{00000000-0005-0000-0000-0000FB000000}"/>
    <cellStyle name="계산 2" xfId="115" xr:uid="{00000000-0005-0000-0000-0000FC000000}"/>
    <cellStyle name="계산 3" xfId="156" xr:uid="{00000000-0005-0000-0000-0000FD000000}"/>
    <cellStyle name="계산 4" xfId="197" xr:uid="{00000000-0005-0000-0000-0000FE000000}"/>
    <cellStyle name="계산 5" xfId="239" xr:uid="{00000000-0005-0000-0000-0000FF000000}"/>
    <cellStyle name="계산 6" xfId="281" xr:uid="{00000000-0005-0000-0000-000000010000}"/>
    <cellStyle name="계산 7" xfId="323" xr:uid="{00000000-0005-0000-0000-000001010000}"/>
    <cellStyle name="계산 8" xfId="365" xr:uid="{00000000-0005-0000-0000-000002010000}"/>
    <cellStyle name="계산 9" xfId="407" xr:uid="{00000000-0005-0000-0000-000003010000}"/>
    <cellStyle name="나쁨 10" xfId="450" xr:uid="{00000000-0005-0000-0000-000004010000}"/>
    <cellStyle name="나쁨 11" xfId="492" xr:uid="{00000000-0005-0000-0000-000005010000}"/>
    <cellStyle name="나쁨 2" xfId="116" xr:uid="{00000000-0005-0000-0000-000006010000}"/>
    <cellStyle name="나쁨 3" xfId="157" xr:uid="{00000000-0005-0000-0000-000007010000}"/>
    <cellStyle name="나쁨 4" xfId="198" xr:uid="{00000000-0005-0000-0000-000008010000}"/>
    <cellStyle name="나쁨 5" xfId="240" xr:uid="{00000000-0005-0000-0000-000009010000}"/>
    <cellStyle name="나쁨 6" xfId="282" xr:uid="{00000000-0005-0000-0000-00000A010000}"/>
    <cellStyle name="나쁨 7" xfId="324" xr:uid="{00000000-0005-0000-0000-00000B010000}"/>
    <cellStyle name="나쁨 8" xfId="366" xr:uid="{00000000-0005-0000-0000-00000C010000}"/>
    <cellStyle name="나쁨 9" xfId="408" xr:uid="{00000000-0005-0000-0000-00000D010000}"/>
    <cellStyle name="메모 10" xfId="451" xr:uid="{00000000-0005-0000-0000-00000E010000}"/>
    <cellStyle name="메모 11" xfId="493" xr:uid="{00000000-0005-0000-0000-00000F010000}"/>
    <cellStyle name="메모 2" xfId="117" xr:uid="{00000000-0005-0000-0000-000010010000}"/>
    <cellStyle name="메모 3" xfId="158" xr:uid="{00000000-0005-0000-0000-000011010000}"/>
    <cellStyle name="메모 4" xfId="199" xr:uid="{00000000-0005-0000-0000-000012010000}"/>
    <cellStyle name="메모 5" xfId="241" xr:uid="{00000000-0005-0000-0000-000013010000}"/>
    <cellStyle name="메모 6" xfId="283" xr:uid="{00000000-0005-0000-0000-000014010000}"/>
    <cellStyle name="메모 7" xfId="325" xr:uid="{00000000-0005-0000-0000-000015010000}"/>
    <cellStyle name="메모 8" xfId="367" xr:uid="{00000000-0005-0000-0000-000016010000}"/>
    <cellStyle name="메모 9" xfId="409" xr:uid="{00000000-0005-0000-0000-000017010000}"/>
    <cellStyle name="보통 10" xfId="452" xr:uid="{00000000-0005-0000-0000-000018010000}"/>
    <cellStyle name="보통 11" xfId="494" xr:uid="{00000000-0005-0000-0000-000019010000}"/>
    <cellStyle name="보통 2" xfId="118" xr:uid="{00000000-0005-0000-0000-00001A010000}"/>
    <cellStyle name="보통 3" xfId="159" xr:uid="{00000000-0005-0000-0000-00001B010000}"/>
    <cellStyle name="보통 4" xfId="200" xr:uid="{00000000-0005-0000-0000-00001C010000}"/>
    <cellStyle name="보통 5" xfId="242" xr:uid="{00000000-0005-0000-0000-00001D010000}"/>
    <cellStyle name="보통 6" xfId="284" xr:uid="{00000000-0005-0000-0000-00001E010000}"/>
    <cellStyle name="보통 7" xfId="326" xr:uid="{00000000-0005-0000-0000-00001F010000}"/>
    <cellStyle name="보통 8" xfId="368" xr:uid="{00000000-0005-0000-0000-000020010000}"/>
    <cellStyle name="보통 9" xfId="410" xr:uid="{00000000-0005-0000-0000-000021010000}"/>
    <cellStyle name="설명 텍스트 10" xfId="453" xr:uid="{00000000-0005-0000-0000-000022010000}"/>
    <cellStyle name="설명 텍스트 11" xfId="495" xr:uid="{00000000-0005-0000-0000-000023010000}"/>
    <cellStyle name="설명 텍스트 2" xfId="119" xr:uid="{00000000-0005-0000-0000-000024010000}"/>
    <cellStyle name="설명 텍스트 3" xfId="160" xr:uid="{00000000-0005-0000-0000-000025010000}"/>
    <cellStyle name="설명 텍스트 4" xfId="201" xr:uid="{00000000-0005-0000-0000-000026010000}"/>
    <cellStyle name="설명 텍스트 5" xfId="243" xr:uid="{00000000-0005-0000-0000-000027010000}"/>
    <cellStyle name="설명 텍스트 6" xfId="285" xr:uid="{00000000-0005-0000-0000-000028010000}"/>
    <cellStyle name="설명 텍스트 7" xfId="327" xr:uid="{00000000-0005-0000-0000-000029010000}"/>
    <cellStyle name="설명 텍스트 8" xfId="369" xr:uid="{00000000-0005-0000-0000-00002A010000}"/>
    <cellStyle name="설명 텍스트 9" xfId="411" xr:uid="{00000000-0005-0000-0000-00002B010000}"/>
    <cellStyle name="셀 확인 10" xfId="454" xr:uid="{00000000-0005-0000-0000-00002C010000}"/>
    <cellStyle name="셀 확인 11" xfId="496" xr:uid="{00000000-0005-0000-0000-00002D010000}"/>
    <cellStyle name="셀 확인 2" xfId="120" xr:uid="{00000000-0005-0000-0000-00002E010000}"/>
    <cellStyle name="셀 확인 3" xfId="161" xr:uid="{00000000-0005-0000-0000-00002F010000}"/>
    <cellStyle name="셀 확인 4" xfId="202" xr:uid="{00000000-0005-0000-0000-000030010000}"/>
    <cellStyle name="셀 확인 5" xfId="244" xr:uid="{00000000-0005-0000-0000-000031010000}"/>
    <cellStyle name="셀 확인 6" xfId="286" xr:uid="{00000000-0005-0000-0000-000032010000}"/>
    <cellStyle name="셀 확인 7" xfId="328" xr:uid="{00000000-0005-0000-0000-000033010000}"/>
    <cellStyle name="셀 확인 8" xfId="370" xr:uid="{00000000-0005-0000-0000-000034010000}"/>
    <cellStyle name="셀 확인 9" xfId="412" xr:uid="{00000000-0005-0000-0000-000035010000}"/>
    <cellStyle name="쉼표 [0]" xfId="1" builtinId="6"/>
    <cellStyle name="쉼표 [0] 10" xfId="413" xr:uid="{00000000-0005-0000-0000-000037010000}"/>
    <cellStyle name="쉼표 [0] 11" xfId="455" xr:uid="{00000000-0005-0000-0000-000038010000}"/>
    <cellStyle name="쉼표 [0] 12" xfId="497" xr:uid="{00000000-0005-0000-0000-000039010000}"/>
    <cellStyle name="쉼표 [0] 2" xfId="2" xr:uid="{00000000-0005-0000-0000-00003A010000}"/>
    <cellStyle name="쉼표 [0] 5" xfId="203" xr:uid="{00000000-0005-0000-0000-00003B010000}"/>
    <cellStyle name="쉼표 [0] 6" xfId="245" xr:uid="{00000000-0005-0000-0000-00003C010000}"/>
    <cellStyle name="쉼표 [0] 7" xfId="287" xr:uid="{00000000-0005-0000-0000-00003D010000}"/>
    <cellStyle name="쉼표 [0] 8" xfId="329" xr:uid="{00000000-0005-0000-0000-00003E010000}"/>
    <cellStyle name="쉼표 [0] 9" xfId="371" xr:uid="{00000000-0005-0000-0000-00003F010000}"/>
    <cellStyle name="연결된 셀 10" xfId="456" xr:uid="{00000000-0005-0000-0000-000040010000}"/>
    <cellStyle name="연결된 셀 11" xfId="498" xr:uid="{00000000-0005-0000-0000-000041010000}"/>
    <cellStyle name="연결된 셀 2" xfId="121" xr:uid="{00000000-0005-0000-0000-000042010000}"/>
    <cellStyle name="연결된 셀 3" xfId="162" xr:uid="{00000000-0005-0000-0000-000043010000}"/>
    <cellStyle name="연결된 셀 4" xfId="204" xr:uid="{00000000-0005-0000-0000-000044010000}"/>
    <cellStyle name="연결된 셀 5" xfId="246" xr:uid="{00000000-0005-0000-0000-000045010000}"/>
    <cellStyle name="연결된 셀 6" xfId="288" xr:uid="{00000000-0005-0000-0000-000046010000}"/>
    <cellStyle name="연결된 셀 7" xfId="330" xr:uid="{00000000-0005-0000-0000-000047010000}"/>
    <cellStyle name="연결된 셀 8" xfId="372" xr:uid="{00000000-0005-0000-0000-000048010000}"/>
    <cellStyle name="연결된 셀 9" xfId="414" xr:uid="{00000000-0005-0000-0000-000049010000}"/>
    <cellStyle name="요약 10" xfId="457" xr:uid="{00000000-0005-0000-0000-00004A010000}"/>
    <cellStyle name="요약 11" xfId="499" xr:uid="{00000000-0005-0000-0000-00004B010000}"/>
    <cellStyle name="요약 2" xfId="122" xr:uid="{00000000-0005-0000-0000-00004C010000}"/>
    <cellStyle name="요약 3" xfId="163" xr:uid="{00000000-0005-0000-0000-00004D010000}"/>
    <cellStyle name="요약 4" xfId="205" xr:uid="{00000000-0005-0000-0000-00004E010000}"/>
    <cellStyle name="요약 5" xfId="247" xr:uid="{00000000-0005-0000-0000-00004F010000}"/>
    <cellStyle name="요약 6" xfId="289" xr:uid="{00000000-0005-0000-0000-000050010000}"/>
    <cellStyle name="요약 7" xfId="331" xr:uid="{00000000-0005-0000-0000-000051010000}"/>
    <cellStyle name="요약 8" xfId="373" xr:uid="{00000000-0005-0000-0000-000052010000}"/>
    <cellStyle name="요약 9" xfId="415" xr:uid="{00000000-0005-0000-0000-000053010000}"/>
    <cellStyle name="입력 10" xfId="458" xr:uid="{00000000-0005-0000-0000-000054010000}"/>
    <cellStyle name="입력 11" xfId="500" xr:uid="{00000000-0005-0000-0000-000055010000}"/>
    <cellStyle name="입력 2" xfId="123" xr:uid="{00000000-0005-0000-0000-000056010000}"/>
    <cellStyle name="입력 3" xfId="164" xr:uid="{00000000-0005-0000-0000-000057010000}"/>
    <cellStyle name="입력 4" xfId="206" xr:uid="{00000000-0005-0000-0000-000058010000}"/>
    <cellStyle name="입력 5" xfId="248" xr:uid="{00000000-0005-0000-0000-000059010000}"/>
    <cellStyle name="입력 6" xfId="290" xr:uid="{00000000-0005-0000-0000-00005A010000}"/>
    <cellStyle name="입력 7" xfId="332" xr:uid="{00000000-0005-0000-0000-00005B010000}"/>
    <cellStyle name="입력 8" xfId="374" xr:uid="{00000000-0005-0000-0000-00005C010000}"/>
    <cellStyle name="입력 9" xfId="416" xr:uid="{00000000-0005-0000-0000-00005D010000}"/>
    <cellStyle name="제목 1 10" xfId="460" xr:uid="{00000000-0005-0000-0000-00005E010000}"/>
    <cellStyle name="제목 1 11" xfId="502" xr:uid="{00000000-0005-0000-0000-00005F010000}"/>
    <cellStyle name="제목 1 2" xfId="125" xr:uid="{00000000-0005-0000-0000-000060010000}"/>
    <cellStyle name="제목 1 3" xfId="166" xr:uid="{00000000-0005-0000-0000-000061010000}"/>
    <cellStyle name="제목 1 4" xfId="208" xr:uid="{00000000-0005-0000-0000-000062010000}"/>
    <cellStyle name="제목 1 5" xfId="250" xr:uid="{00000000-0005-0000-0000-000063010000}"/>
    <cellStyle name="제목 1 6" xfId="292" xr:uid="{00000000-0005-0000-0000-000064010000}"/>
    <cellStyle name="제목 1 7" xfId="334" xr:uid="{00000000-0005-0000-0000-000065010000}"/>
    <cellStyle name="제목 1 8" xfId="376" xr:uid="{00000000-0005-0000-0000-000066010000}"/>
    <cellStyle name="제목 1 9" xfId="418" xr:uid="{00000000-0005-0000-0000-000067010000}"/>
    <cellStyle name="제목 10" xfId="333" xr:uid="{00000000-0005-0000-0000-000068010000}"/>
    <cellStyle name="제목 11" xfId="375" xr:uid="{00000000-0005-0000-0000-000069010000}"/>
    <cellStyle name="제목 12" xfId="417" xr:uid="{00000000-0005-0000-0000-00006A010000}"/>
    <cellStyle name="제목 13" xfId="459" xr:uid="{00000000-0005-0000-0000-00006B010000}"/>
    <cellStyle name="제목 14" xfId="501" xr:uid="{00000000-0005-0000-0000-00006C010000}"/>
    <cellStyle name="제목 2 10" xfId="461" xr:uid="{00000000-0005-0000-0000-00006D010000}"/>
    <cellStyle name="제목 2 11" xfId="503" xr:uid="{00000000-0005-0000-0000-00006E010000}"/>
    <cellStyle name="제목 2 2" xfId="126" xr:uid="{00000000-0005-0000-0000-00006F010000}"/>
    <cellStyle name="제목 2 3" xfId="167" xr:uid="{00000000-0005-0000-0000-000070010000}"/>
    <cellStyle name="제목 2 4" xfId="209" xr:uid="{00000000-0005-0000-0000-000071010000}"/>
    <cellStyle name="제목 2 5" xfId="251" xr:uid="{00000000-0005-0000-0000-000072010000}"/>
    <cellStyle name="제목 2 6" xfId="293" xr:uid="{00000000-0005-0000-0000-000073010000}"/>
    <cellStyle name="제목 2 7" xfId="335" xr:uid="{00000000-0005-0000-0000-000074010000}"/>
    <cellStyle name="제목 2 8" xfId="377" xr:uid="{00000000-0005-0000-0000-000075010000}"/>
    <cellStyle name="제목 2 9" xfId="419" xr:uid="{00000000-0005-0000-0000-000076010000}"/>
    <cellStyle name="제목 3 10" xfId="462" xr:uid="{00000000-0005-0000-0000-000077010000}"/>
    <cellStyle name="제목 3 11" xfId="504" xr:uid="{00000000-0005-0000-0000-000078010000}"/>
    <cellStyle name="제목 3 2" xfId="127" xr:uid="{00000000-0005-0000-0000-000079010000}"/>
    <cellStyle name="제목 3 3" xfId="168" xr:uid="{00000000-0005-0000-0000-00007A010000}"/>
    <cellStyle name="제목 3 4" xfId="210" xr:uid="{00000000-0005-0000-0000-00007B010000}"/>
    <cellStyle name="제목 3 5" xfId="252" xr:uid="{00000000-0005-0000-0000-00007C010000}"/>
    <cellStyle name="제목 3 6" xfId="294" xr:uid="{00000000-0005-0000-0000-00007D010000}"/>
    <cellStyle name="제목 3 7" xfId="336" xr:uid="{00000000-0005-0000-0000-00007E010000}"/>
    <cellStyle name="제목 3 8" xfId="378" xr:uid="{00000000-0005-0000-0000-00007F010000}"/>
    <cellStyle name="제목 3 9" xfId="420" xr:uid="{00000000-0005-0000-0000-000080010000}"/>
    <cellStyle name="제목 4 10" xfId="463" xr:uid="{00000000-0005-0000-0000-000081010000}"/>
    <cellStyle name="제목 4 11" xfId="505" xr:uid="{00000000-0005-0000-0000-000082010000}"/>
    <cellStyle name="제목 4 2" xfId="128" xr:uid="{00000000-0005-0000-0000-000083010000}"/>
    <cellStyle name="제목 4 3" xfId="169" xr:uid="{00000000-0005-0000-0000-000084010000}"/>
    <cellStyle name="제목 4 4" xfId="211" xr:uid="{00000000-0005-0000-0000-000085010000}"/>
    <cellStyle name="제목 4 5" xfId="253" xr:uid="{00000000-0005-0000-0000-000086010000}"/>
    <cellStyle name="제목 4 6" xfId="295" xr:uid="{00000000-0005-0000-0000-000087010000}"/>
    <cellStyle name="제목 4 7" xfId="337" xr:uid="{00000000-0005-0000-0000-000088010000}"/>
    <cellStyle name="제목 4 8" xfId="379" xr:uid="{00000000-0005-0000-0000-000089010000}"/>
    <cellStyle name="제목 4 9" xfId="421" xr:uid="{00000000-0005-0000-0000-00008A010000}"/>
    <cellStyle name="제목 5" xfId="124" xr:uid="{00000000-0005-0000-0000-00008B010000}"/>
    <cellStyle name="제목 6" xfId="165" xr:uid="{00000000-0005-0000-0000-00008C010000}"/>
    <cellStyle name="제목 7" xfId="207" xr:uid="{00000000-0005-0000-0000-00008D010000}"/>
    <cellStyle name="제목 8" xfId="249" xr:uid="{00000000-0005-0000-0000-00008E010000}"/>
    <cellStyle name="제목 9" xfId="291" xr:uid="{00000000-0005-0000-0000-00008F010000}"/>
    <cellStyle name="좋음 10" xfId="464" xr:uid="{00000000-0005-0000-0000-000090010000}"/>
    <cellStyle name="좋음 11" xfId="506" xr:uid="{00000000-0005-0000-0000-000091010000}"/>
    <cellStyle name="좋음 2" xfId="129" xr:uid="{00000000-0005-0000-0000-000092010000}"/>
    <cellStyle name="좋음 3" xfId="170" xr:uid="{00000000-0005-0000-0000-000093010000}"/>
    <cellStyle name="좋음 4" xfId="212" xr:uid="{00000000-0005-0000-0000-000094010000}"/>
    <cellStyle name="좋음 5" xfId="254" xr:uid="{00000000-0005-0000-0000-000095010000}"/>
    <cellStyle name="좋음 6" xfId="296" xr:uid="{00000000-0005-0000-0000-000096010000}"/>
    <cellStyle name="좋음 7" xfId="338" xr:uid="{00000000-0005-0000-0000-000097010000}"/>
    <cellStyle name="좋음 8" xfId="380" xr:uid="{00000000-0005-0000-0000-000098010000}"/>
    <cellStyle name="좋음 9" xfId="422" xr:uid="{00000000-0005-0000-0000-000099010000}"/>
    <cellStyle name="출력 10" xfId="465" xr:uid="{00000000-0005-0000-0000-00009A010000}"/>
    <cellStyle name="출력 11" xfId="507" xr:uid="{00000000-0005-0000-0000-00009B010000}"/>
    <cellStyle name="출력 2" xfId="130" xr:uid="{00000000-0005-0000-0000-00009C010000}"/>
    <cellStyle name="출력 3" xfId="171" xr:uid="{00000000-0005-0000-0000-00009D010000}"/>
    <cellStyle name="출력 4" xfId="213" xr:uid="{00000000-0005-0000-0000-00009E010000}"/>
    <cellStyle name="출력 5" xfId="255" xr:uid="{00000000-0005-0000-0000-00009F010000}"/>
    <cellStyle name="출력 6" xfId="297" xr:uid="{00000000-0005-0000-0000-0000A0010000}"/>
    <cellStyle name="출력 7" xfId="339" xr:uid="{00000000-0005-0000-0000-0000A1010000}"/>
    <cellStyle name="출력 8" xfId="381" xr:uid="{00000000-0005-0000-0000-0000A2010000}"/>
    <cellStyle name="출력 9" xfId="423" xr:uid="{00000000-0005-0000-0000-0000A3010000}"/>
    <cellStyle name="표준" xfId="0" builtinId="0"/>
    <cellStyle name="표준 10" xfId="15" xr:uid="{00000000-0005-0000-0000-0000A5010000}"/>
    <cellStyle name="표준 10 2" xfId="517" xr:uid="{00000000-0005-0000-0000-0000A6010000}"/>
    <cellStyle name="표준 10 3" xfId="527" xr:uid="{00000000-0005-0000-0000-0000A7010000}"/>
    <cellStyle name="표준 10 4" xfId="548" xr:uid="{00000000-0005-0000-0000-0000A8010000}"/>
    <cellStyle name="표준 10 5" xfId="558" xr:uid="{00000000-0005-0000-0000-0000A9010000}"/>
    <cellStyle name="표준 10 6" xfId="568" xr:uid="{00000000-0005-0000-0000-0000AA010000}"/>
    <cellStyle name="표준 11" xfId="16" xr:uid="{00000000-0005-0000-0000-0000AB010000}"/>
    <cellStyle name="표준 11 2" xfId="518" xr:uid="{00000000-0005-0000-0000-0000AC010000}"/>
    <cellStyle name="표준 11 3" xfId="549" xr:uid="{00000000-0005-0000-0000-0000AD010000}"/>
    <cellStyle name="표준 11 4" xfId="559" xr:uid="{00000000-0005-0000-0000-0000AE010000}"/>
    <cellStyle name="표준 11 5" xfId="569" xr:uid="{00000000-0005-0000-0000-0000AF010000}"/>
    <cellStyle name="표준 12" xfId="17" xr:uid="{00000000-0005-0000-0000-0000B0010000}"/>
    <cellStyle name="표준 12 2" xfId="550" xr:uid="{00000000-0005-0000-0000-0000B1010000}"/>
    <cellStyle name="표준 12 3" xfId="560" xr:uid="{00000000-0005-0000-0000-0000B2010000}"/>
    <cellStyle name="표준 12 4" xfId="570" xr:uid="{00000000-0005-0000-0000-0000B3010000}"/>
    <cellStyle name="표준 13" xfId="20" xr:uid="{00000000-0005-0000-0000-0000B4010000}"/>
    <cellStyle name="표준 13 2" xfId="571" xr:uid="{00000000-0005-0000-0000-0000B5010000}"/>
    <cellStyle name="표준 14" xfId="21" xr:uid="{00000000-0005-0000-0000-0000B6010000}"/>
    <cellStyle name="표준 14 2" xfId="572" xr:uid="{00000000-0005-0000-0000-0000B7010000}"/>
    <cellStyle name="표준 15" xfId="22" xr:uid="{00000000-0005-0000-0000-0000B8010000}"/>
    <cellStyle name="표준 16" xfId="23" xr:uid="{00000000-0005-0000-0000-0000B9010000}"/>
    <cellStyle name="표준 17" xfId="25" xr:uid="{00000000-0005-0000-0000-0000BA010000}"/>
    <cellStyle name="표준 18" xfId="26" xr:uid="{00000000-0005-0000-0000-0000BB010000}"/>
    <cellStyle name="표준 19" xfId="27" xr:uid="{00000000-0005-0000-0000-0000BC010000}"/>
    <cellStyle name="표준 2" xfId="12" xr:uid="{00000000-0005-0000-0000-0000BD010000}"/>
    <cellStyle name="표준 2 10" xfId="551" xr:uid="{00000000-0005-0000-0000-0000BE010000}"/>
    <cellStyle name="표준 2 11" xfId="561" xr:uid="{00000000-0005-0000-0000-0000BF010000}"/>
    <cellStyle name="표준 2 2" xfId="8" xr:uid="{00000000-0005-0000-0000-0000C0010000}"/>
    <cellStyle name="표준 2 3" xfId="10" xr:uid="{00000000-0005-0000-0000-0000C1010000}"/>
    <cellStyle name="표준 2 4" xfId="11" xr:uid="{00000000-0005-0000-0000-0000C2010000}"/>
    <cellStyle name="표준 2 5" xfId="509" xr:uid="{00000000-0005-0000-0000-0000C3010000}"/>
    <cellStyle name="표준 2 6" xfId="520" xr:uid="{00000000-0005-0000-0000-0000C4010000}"/>
    <cellStyle name="표준 2 7" xfId="529" xr:uid="{00000000-0005-0000-0000-0000C5010000}"/>
    <cellStyle name="표준 2 8" xfId="537" xr:uid="{00000000-0005-0000-0000-0000C6010000}"/>
    <cellStyle name="표준 2 9" xfId="541" xr:uid="{00000000-0005-0000-0000-0000C7010000}"/>
    <cellStyle name="표준 20" xfId="28" xr:uid="{00000000-0005-0000-0000-0000C8010000}"/>
    <cellStyle name="표준 21" xfId="30" xr:uid="{00000000-0005-0000-0000-0000C9010000}"/>
    <cellStyle name="표준 22" xfId="31" xr:uid="{00000000-0005-0000-0000-0000CA010000}"/>
    <cellStyle name="표준 23" xfId="32" xr:uid="{00000000-0005-0000-0000-0000CB010000}"/>
    <cellStyle name="표준 24" xfId="33" xr:uid="{00000000-0005-0000-0000-0000CC010000}"/>
    <cellStyle name="표준 25" xfId="34" xr:uid="{00000000-0005-0000-0000-0000CD010000}"/>
    <cellStyle name="표준 26" xfId="35" xr:uid="{00000000-0005-0000-0000-0000CE010000}"/>
    <cellStyle name="표준 27" xfId="36" xr:uid="{00000000-0005-0000-0000-0000CF010000}"/>
    <cellStyle name="표준 28" xfId="37" xr:uid="{00000000-0005-0000-0000-0000D0010000}"/>
    <cellStyle name="표준 29" xfId="38" xr:uid="{00000000-0005-0000-0000-0000D1010000}"/>
    <cellStyle name="표준 3" xfId="6" xr:uid="{00000000-0005-0000-0000-0000D2010000}"/>
    <cellStyle name="표준 3 2" xfId="510" xr:uid="{00000000-0005-0000-0000-0000D3010000}"/>
    <cellStyle name="표준 3 3" xfId="521" xr:uid="{00000000-0005-0000-0000-0000D4010000}"/>
    <cellStyle name="표준 3 4" xfId="530" xr:uid="{00000000-0005-0000-0000-0000D5010000}"/>
    <cellStyle name="표준 3 5" xfId="538" xr:uid="{00000000-0005-0000-0000-0000D6010000}"/>
    <cellStyle name="표준 3 6" xfId="542" xr:uid="{00000000-0005-0000-0000-0000D7010000}"/>
    <cellStyle name="표준 3 7" xfId="552" xr:uid="{00000000-0005-0000-0000-0000D8010000}"/>
    <cellStyle name="표준 3 8" xfId="562" xr:uid="{00000000-0005-0000-0000-0000D9010000}"/>
    <cellStyle name="표준 30" xfId="39" xr:uid="{00000000-0005-0000-0000-0000DA010000}"/>
    <cellStyle name="표준 31" xfId="40" xr:uid="{00000000-0005-0000-0000-0000DB010000}"/>
    <cellStyle name="표준 32" xfId="41" xr:uid="{00000000-0005-0000-0000-0000DC010000}"/>
    <cellStyle name="표준 33" xfId="42" xr:uid="{00000000-0005-0000-0000-0000DD010000}"/>
    <cellStyle name="표준 34" xfId="45" xr:uid="{00000000-0005-0000-0000-0000DE010000}"/>
    <cellStyle name="표준 35" xfId="46" xr:uid="{00000000-0005-0000-0000-0000DF010000}"/>
    <cellStyle name="표준 36" xfId="47" xr:uid="{00000000-0005-0000-0000-0000E0010000}"/>
    <cellStyle name="표준 37" xfId="48" xr:uid="{00000000-0005-0000-0000-0000E1010000}"/>
    <cellStyle name="표준 38" xfId="49" xr:uid="{00000000-0005-0000-0000-0000E2010000}"/>
    <cellStyle name="표준 39" xfId="50" xr:uid="{00000000-0005-0000-0000-0000E3010000}"/>
    <cellStyle name="표준 4" xfId="7" xr:uid="{00000000-0005-0000-0000-0000E4010000}"/>
    <cellStyle name="표준 4 2" xfId="511" xr:uid="{00000000-0005-0000-0000-0000E5010000}"/>
    <cellStyle name="표준 4 3" xfId="522" xr:uid="{00000000-0005-0000-0000-0000E6010000}"/>
    <cellStyle name="표준 4 4" xfId="531" xr:uid="{00000000-0005-0000-0000-0000E7010000}"/>
    <cellStyle name="표준 4 5" xfId="539" xr:uid="{00000000-0005-0000-0000-0000E8010000}"/>
    <cellStyle name="표준 4 6" xfId="543" xr:uid="{00000000-0005-0000-0000-0000E9010000}"/>
    <cellStyle name="표준 4 7" xfId="553" xr:uid="{00000000-0005-0000-0000-0000EA010000}"/>
    <cellStyle name="표준 4 8" xfId="563" xr:uid="{00000000-0005-0000-0000-0000EB010000}"/>
    <cellStyle name="표준 40" xfId="51" xr:uid="{00000000-0005-0000-0000-0000EC010000}"/>
    <cellStyle name="표준 41" xfId="52" xr:uid="{00000000-0005-0000-0000-0000ED010000}"/>
    <cellStyle name="표준 42" xfId="55" xr:uid="{00000000-0005-0000-0000-0000EE010000}"/>
    <cellStyle name="표준 43" xfId="56" xr:uid="{00000000-0005-0000-0000-0000EF010000}"/>
    <cellStyle name="표준 44" xfId="59" xr:uid="{00000000-0005-0000-0000-0000F0010000}"/>
    <cellStyle name="표준 45" xfId="60" xr:uid="{00000000-0005-0000-0000-0000F1010000}"/>
    <cellStyle name="표준 46" xfId="61" xr:uid="{00000000-0005-0000-0000-0000F2010000}"/>
    <cellStyle name="표준 47" xfId="62" xr:uid="{00000000-0005-0000-0000-0000F3010000}"/>
    <cellStyle name="표준 48" xfId="66" xr:uid="{00000000-0005-0000-0000-0000F4010000}"/>
    <cellStyle name="표준 49" xfId="3" xr:uid="{00000000-0005-0000-0000-0000F5010000}"/>
    <cellStyle name="표준 49 2" xfId="67" xr:uid="{00000000-0005-0000-0000-0000F6010000}"/>
    <cellStyle name="표준 49 3" xfId="65" xr:uid="{00000000-0005-0000-0000-0000F7010000}"/>
    <cellStyle name="표준 49 4" xfId="76" xr:uid="{00000000-0005-0000-0000-0000F8010000}"/>
    <cellStyle name="표준 49 5" xfId="75" xr:uid="{00000000-0005-0000-0000-0000F9010000}"/>
    <cellStyle name="표준 49 6" xfId="84" xr:uid="{00000000-0005-0000-0000-0000FA010000}"/>
    <cellStyle name="표준 5" xfId="9" xr:uid="{00000000-0005-0000-0000-0000FB010000}"/>
    <cellStyle name="표준 5 2" xfId="512" xr:uid="{00000000-0005-0000-0000-0000FC010000}"/>
    <cellStyle name="표준 5 3" xfId="523" xr:uid="{00000000-0005-0000-0000-0000FD010000}"/>
    <cellStyle name="표준 5 4" xfId="532" xr:uid="{00000000-0005-0000-0000-0000FE010000}"/>
    <cellStyle name="표준 5 5" xfId="544" xr:uid="{00000000-0005-0000-0000-0000FF010000}"/>
    <cellStyle name="표준 5 6" xfId="554" xr:uid="{00000000-0005-0000-0000-000000020000}"/>
    <cellStyle name="표준 5 7" xfId="564" xr:uid="{00000000-0005-0000-0000-000001020000}"/>
    <cellStyle name="표준 50" xfId="4" xr:uid="{00000000-0005-0000-0000-000002020000}"/>
    <cellStyle name="표준 50 2" xfId="68" xr:uid="{00000000-0005-0000-0000-000003020000}"/>
    <cellStyle name="표준 50 3" xfId="72" xr:uid="{00000000-0005-0000-0000-000004020000}"/>
    <cellStyle name="표준 50 4" xfId="77" xr:uid="{00000000-0005-0000-0000-000005020000}"/>
    <cellStyle name="표준 50 5" xfId="74" xr:uid="{00000000-0005-0000-0000-000006020000}"/>
    <cellStyle name="표준 50 6" xfId="85" xr:uid="{00000000-0005-0000-0000-000007020000}"/>
    <cellStyle name="표준 51" xfId="69" xr:uid="{00000000-0005-0000-0000-000008020000}"/>
    <cellStyle name="표준 52" xfId="70" xr:uid="{00000000-0005-0000-0000-000009020000}"/>
    <cellStyle name="표준 53" xfId="79" xr:uid="{00000000-0005-0000-0000-00000A020000}"/>
    <cellStyle name="표준 54" xfId="80" xr:uid="{00000000-0005-0000-0000-00000B020000}"/>
    <cellStyle name="표준 55" xfId="81" xr:uid="{00000000-0005-0000-0000-00000C020000}"/>
    <cellStyle name="표준 56" xfId="82" xr:uid="{00000000-0005-0000-0000-00000D020000}"/>
    <cellStyle name="표준 57" xfId="87" xr:uid="{00000000-0005-0000-0000-00000E020000}"/>
    <cellStyle name="표준 58" xfId="88" xr:uid="{00000000-0005-0000-0000-00000F020000}"/>
    <cellStyle name="표준 59" xfId="89" xr:uid="{00000000-0005-0000-0000-000010020000}"/>
    <cellStyle name="표준 6" xfId="13" xr:uid="{00000000-0005-0000-0000-000011020000}"/>
    <cellStyle name="표준 6 2" xfId="513" xr:uid="{00000000-0005-0000-0000-000012020000}"/>
    <cellStyle name="표준 6 3" xfId="524" xr:uid="{00000000-0005-0000-0000-000013020000}"/>
    <cellStyle name="표준 6 4" xfId="533" xr:uid="{00000000-0005-0000-0000-000014020000}"/>
    <cellStyle name="표준 6 5" xfId="545" xr:uid="{00000000-0005-0000-0000-000015020000}"/>
    <cellStyle name="표준 6 6" xfId="555" xr:uid="{00000000-0005-0000-0000-000016020000}"/>
    <cellStyle name="표준 6 7" xfId="565" xr:uid="{00000000-0005-0000-0000-000017020000}"/>
    <cellStyle name="표준 60" xfId="519" xr:uid="{00000000-0005-0000-0000-000018020000}"/>
    <cellStyle name="표준 61" xfId="528" xr:uid="{00000000-0005-0000-0000-000019020000}"/>
    <cellStyle name="표준 62" xfId="536" xr:uid="{00000000-0005-0000-0000-00001A020000}"/>
    <cellStyle name="표준 63" xfId="540" xr:uid="{00000000-0005-0000-0000-00001B020000}"/>
    <cellStyle name="표준 7" xfId="14" xr:uid="{00000000-0005-0000-0000-00001C020000}"/>
    <cellStyle name="표준 7 2" xfId="514" xr:uid="{00000000-0005-0000-0000-00001D020000}"/>
    <cellStyle name="표준 7 3" xfId="525" xr:uid="{00000000-0005-0000-0000-00001E020000}"/>
    <cellStyle name="표준 7 4" xfId="534" xr:uid="{00000000-0005-0000-0000-00001F020000}"/>
    <cellStyle name="표준 7 5" xfId="546" xr:uid="{00000000-0005-0000-0000-000020020000}"/>
    <cellStyle name="표준 7 6" xfId="556" xr:uid="{00000000-0005-0000-0000-000021020000}"/>
    <cellStyle name="표준 7 7" xfId="566" xr:uid="{00000000-0005-0000-0000-000022020000}"/>
    <cellStyle name="표준 8" xfId="508" xr:uid="{00000000-0005-0000-0000-000023020000}"/>
    <cellStyle name="표준 8 10" xfId="58" xr:uid="{00000000-0005-0000-0000-000024020000}"/>
    <cellStyle name="표준 8 11" xfId="63" xr:uid="{00000000-0005-0000-0000-000025020000}"/>
    <cellStyle name="표준 8 12" xfId="64" xr:uid="{00000000-0005-0000-0000-000026020000}"/>
    <cellStyle name="표준 8 13" xfId="71" xr:uid="{00000000-0005-0000-0000-000027020000}"/>
    <cellStyle name="표준 8 14" xfId="73" xr:uid="{00000000-0005-0000-0000-000028020000}"/>
    <cellStyle name="표준 8 15" xfId="78" xr:uid="{00000000-0005-0000-0000-000029020000}"/>
    <cellStyle name="표준 8 16" xfId="83" xr:uid="{00000000-0005-0000-0000-00002A020000}"/>
    <cellStyle name="표준 8 17" xfId="86" xr:uid="{00000000-0005-0000-0000-00002B020000}"/>
    <cellStyle name="표준 8 18" xfId="515" xr:uid="{00000000-0005-0000-0000-00002C020000}"/>
    <cellStyle name="표준 8 2" xfId="18" xr:uid="{00000000-0005-0000-0000-00002D020000}"/>
    <cellStyle name="표준 8 3" xfId="24" xr:uid="{00000000-0005-0000-0000-00002E020000}"/>
    <cellStyle name="표준 8 4" xfId="29" xr:uid="{00000000-0005-0000-0000-00002F020000}"/>
    <cellStyle name="표준 8 5" xfId="43" xr:uid="{00000000-0005-0000-0000-000030020000}"/>
    <cellStyle name="표준 8 6" xfId="44" xr:uid="{00000000-0005-0000-0000-000031020000}"/>
    <cellStyle name="표준 8 7" xfId="53" xr:uid="{00000000-0005-0000-0000-000032020000}"/>
    <cellStyle name="표준 8 8" xfId="54" xr:uid="{00000000-0005-0000-0000-000033020000}"/>
    <cellStyle name="표준 8 9" xfId="57" xr:uid="{00000000-0005-0000-0000-000034020000}"/>
    <cellStyle name="표준 9" xfId="19" xr:uid="{00000000-0005-0000-0000-000035020000}"/>
    <cellStyle name="표준 9 2" xfId="516" xr:uid="{00000000-0005-0000-0000-000036020000}"/>
    <cellStyle name="표준 9 3" xfId="526" xr:uid="{00000000-0005-0000-0000-000037020000}"/>
    <cellStyle name="표준 9 4" xfId="535" xr:uid="{00000000-0005-0000-0000-000038020000}"/>
    <cellStyle name="표준 9 5" xfId="547" xr:uid="{00000000-0005-0000-0000-000039020000}"/>
    <cellStyle name="표준 9 6" xfId="557" xr:uid="{00000000-0005-0000-0000-00003A020000}"/>
    <cellStyle name="표준 9 7" xfId="567" xr:uid="{00000000-0005-0000-0000-00003B020000}"/>
    <cellStyle name="하이퍼링크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76200</xdr:colOff>
      <xdr:row>1</xdr:row>
      <xdr:rowOff>38100</xdr:rowOff>
    </xdr:from>
    <xdr:to>
      <xdr:col>10</xdr:col>
      <xdr:colOff>297180</xdr:colOff>
      <xdr:row>2</xdr:row>
      <xdr:rowOff>348128</xdr:rowOff>
    </xdr:to>
    <xdr:pic>
      <xdr:nvPicPr>
        <xdr:cNvPr id="3" name="그림 2" descr="씨에스그린 1번 사용인감-cutout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2180" y="480060"/>
          <a:ext cx="601980" cy="6910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031-433-3911,%20031-434-3912%20%20%20%20%20%20%20%20%20%20%20%20%20%20%20%20%20%20%20%20%20%20%20%20%20fax:031-433-69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579"/>
  <sheetViews>
    <sheetView tabSelected="1" view="pageBreakPreview" zoomScaleSheetLayoutView="100" workbookViewId="0">
      <selection activeCell="N3" sqref="N3"/>
    </sheetView>
  </sheetViews>
  <sheetFormatPr defaultRowHeight="14"/>
  <cols>
    <col min="1" max="1" width="9.83203125" style="7" customWidth="1"/>
    <col min="2" max="2" width="16.08203125" customWidth="1"/>
    <col min="3" max="3" width="4.58203125" style="8" customWidth="1"/>
    <col min="4" max="4" width="9.1640625" style="11" customWidth="1"/>
    <col min="5" max="5" width="10.58203125" style="8" customWidth="1"/>
    <col min="6" max="6" width="11.6640625" style="12" customWidth="1"/>
    <col min="7" max="7" width="6.1640625" style="12" customWidth="1"/>
    <col min="8" max="8" width="6.33203125" style="12" customWidth="1"/>
    <col min="9" max="9" width="4" style="12" customWidth="1"/>
    <col min="10" max="10" width="5" style="12" customWidth="1"/>
    <col min="11" max="11" width="5" customWidth="1"/>
    <col min="12" max="12" width="3.58203125" customWidth="1"/>
    <col min="13" max="13" width="3.1640625" customWidth="1"/>
    <col min="14" max="14" width="12.6640625" customWidth="1"/>
    <col min="15" max="15" width="18.4140625" customWidth="1"/>
    <col min="16" max="16" width="11.1640625" bestFit="1" customWidth="1"/>
    <col min="17" max="17" width="11" customWidth="1"/>
    <col min="18" max="18" width="15.08203125" customWidth="1"/>
    <col min="19" max="19" width="13.1640625" style="27" bestFit="1" customWidth="1"/>
    <col min="20" max="20" width="16.1640625" customWidth="1"/>
  </cols>
  <sheetData>
    <row r="1" spans="1:20" ht="35.15" customHeight="1" thickBot="1">
      <c r="A1" s="71" t="s">
        <v>7</v>
      </c>
      <c r="B1" s="72"/>
      <c r="C1" s="72"/>
      <c r="D1" s="72"/>
      <c r="E1" s="72"/>
      <c r="F1" s="72"/>
      <c r="G1" s="72"/>
      <c r="H1" s="72"/>
      <c r="I1" s="72"/>
      <c r="J1" s="72"/>
      <c r="K1" s="73"/>
      <c r="S1" s="24"/>
    </row>
    <row r="2" spans="1:20" s="1" customFormat="1" ht="30" customHeight="1">
      <c r="A2" s="74"/>
      <c r="B2" s="75"/>
      <c r="C2" s="76"/>
      <c r="D2" s="77" t="s">
        <v>0</v>
      </c>
      <c r="E2" s="31" t="s">
        <v>11</v>
      </c>
      <c r="F2" s="80"/>
      <c r="G2" s="81"/>
      <c r="H2" s="81"/>
      <c r="I2" s="82"/>
      <c r="J2" s="83"/>
      <c r="K2" s="84"/>
      <c r="S2" s="25"/>
    </row>
    <row r="3" spans="1:20" s="1" customFormat="1" ht="30" customHeight="1">
      <c r="A3" s="87"/>
      <c r="B3" s="88"/>
      <c r="C3" s="89"/>
      <c r="D3" s="78"/>
      <c r="E3" s="2" t="s">
        <v>1</v>
      </c>
      <c r="F3" s="3" t="s">
        <v>19</v>
      </c>
      <c r="G3" s="4" t="s">
        <v>2</v>
      </c>
      <c r="H3" s="93" t="s">
        <v>16</v>
      </c>
      <c r="I3" s="94"/>
      <c r="J3" s="85"/>
      <c r="K3" s="86"/>
      <c r="S3" s="25"/>
    </row>
    <row r="4" spans="1:20" s="1" customFormat="1" ht="30" customHeight="1">
      <c r="A4" s="90"/>
      <c r="B4" s="91"/>
      <c r="C4" s="92"/>
      <c r="D4" s="78"/>
      <c r="E4" s="28" t="s">
        <v>3</v>
      </c>
      <c r="F4" s="95" t="s">
        <v>24</v>
      </c>
      <c r="G4" s="96"/>
      <c r="H4" s="96"/>
      <c r="I4" s="96"/>
      <c r="J4" s="96"/>
      <c r="K4" s="97"/>
      <c r="S4" s="25"/>
    </row>
    <row r="5" spans="1:20" s="1" customFormat="1" ht="30" customHeight="1">
      <c r="A5" s="98"/>
      <c r="B5" s="99"/>
      <c r="C5" s="100"/>
      <c r="D5" s="78"/>
      <c r="E5" s="2" t="s">
        <v>4</v>
      </c>
      <c r="F5" s="3" t="s">
        <v>12</v>
      </c>
      <c r="G5" s="4" t="s">
        <v>5</v>
      </c>
      <c r="H5" s="104" t="s">
        <v>13</v>
      </c>
      <c r="I5" s="105"/>
      <c r="J5" s="105"/>
      <c r="K5" s="106"/>
      <c r="S5" s="25"/>
      <c r="T5" s="23"/>
    </row>
    <row r="6" spans="1:20" s="1" customFormat="1" ht="30" customHeight="1" thickBot="1">
      <c r="A6" s="101"/>
      <c r="B6" s="102"/>
      <c r="C6" s="103"/>
      <c r="D6" s="79"/>
      <c r="E6" s="5" t="s">
        <v>6</v>
      </c>
      <c r="F6" s="107" t="s">
        <v>18</v>
      </c>
      <c r="G6" s="108"/>
      <c r="H6" s="108"/>
      <c r="I6" s="108"/>
      <c r="J6" s="108"/>
      <c r="K6" s="109"/>
      <c r="S6" s="25"/>
      <c r="T6" s="18"/>
    </row>
    <row r="7" spans="1:20" s="1" customFormat="1" ht="32.25" customHeight="1" thickBot="1">
      <c r="A7" s="68" t="s">
        <v>15</v>
      </c>
      <c r="B7" s="69"/>
      <c r="C7" s="70"/>
      <c r="D7" s="65">
        <f>I11</f>
        <v>0</v>
      </c>
      <c r="E7" s="66"/>
      <c r="F7" s="66"/>
      <c r="G7" s="66"/>
      <c r="H7" s="66"/>
      <c r="I7" s="66"/>
      <c r="J7" s="66"/>
      <c r="K7" s="67"/>
      <c r="S7" s="25"/>
      <c r="T7" s="18"/>
    </row>
    <row r="8" spans="1:20" s="6" customFormat="1" ht="33.75" customHeight="1">
      <c r="A8" s="13" t="s">
        <v>8</v>
      </c>
      <c r="B8" s="14" t="s">
        <v>9</v>
      </c>
      <c r="C8" s="15" t="s">
        <v>10</v>
      </c>
      <c r="D8" s="16" t="s">
        <v>14</v>
      </c>
      <c r="E8" s="17" t="s">
        <v>20</v>
      </c>
      <c r="F8" s="17" t="s">
        <v>21</v>
      </c>
      <c r="G8" s="55" t="s">
        <v>22</v>
      </c>
      <c r="H8" s="56"/>
      <c r="I8" s="57" t="s">
        <v>23</v>
      </c>
      <c r="J8" s="58"/>
      <c r="K8" s="59"/>
      <c r="M8" s="1"/>
      <c r="N8" s="1"/>
      <c r="O8" s="1"/>
      <c r="P8" s="1"/>
      <c r="Q8" s="1"/>
      <c r="R8" s="1"/>
      <c r="S8" s="25"/>
      <c r="T8" s="18"/>
    </row>
    <row r="9" spans="1:20" s="18" customFormat="1" ht="23.25" customHeight="1">
      <c r="A9" s="19">
        <f>O9</f>
        <v>0</v>
      </c>
      <c r="B9" s="32"/>
      <c r="C9" s="33"/>
      <c r="D9" s="35">
        <f>P9</f>
        <v>0</v>
      </c>
      <c r="E9" s="30"/>
      <c r="F9" s="30">
        <f>D9*E9</f>
        <v>0</v>
      </c>
      <c r="G9" s="60">
        <f>F9*0.1</f>
        <v>0</v>
      </c>
      <c r="H9" s="61"/>
      <c r="I9" s="62">
        <f>F9+G9</f>
        <v>0</v>
      </c>
      <c r="J9" s="63"/>
      <c r="K9" s="64"/>
      <c r="L9" s="18" t="s">
        <v>17</v>
      </c>
      <c r="M9" s="1"/>
      <c r="N9" s="36"/>
      <c r="O9" s="34"/>
      <c r="P9" s="37"/>
      <c r="Q9" s="1"/>
      <c r="R9" s="1"/>
      <c r="S9" s="25"/>
    </row>
    <row r="10" spans="1:20" s="18" customFormat="1" ht="23.25" customHeight="1" thickBot="1">
      <c r="A10" s="43"/>
      <c r="B10" s="44"/>
      <c r="C10" s="45"/>
      <c r="D10" s="46"/>
      <c r="E10" s="38"/>
      <c r="F10" s="30"/>
      <c r="G10" s="60"/>
      <c r="H10" s="61"/>
      <c r="I10" s="62"/>
      <c r="J10" s="63"/>
      <c r="K10" s="64"/>
      <c r="M10" s="1"/>
      <c r="N10" s="39"/>
      <c r="O10" s="40"/>
      <c r="P10" s="41"/>
      <c r="Q10" s="1"/>
      <c r="R10" s="1"/>
      <c r="S10" s="25"/>
    </row>
    <row r="11" spans="1:20" s="18" customFormat="1" ht="23.25" customHeight="1" thickBot="1">
      <c r="A11" s="47" t="s">
        <v>25</v>
      </c>
      <c r="B11" s="48"/>
      <c r="C11" s="49"/>
      <c r="D11" s="42">
        <f>SUM(D9:D9)</f>
        <v>0</v>
      </c>
      <c r="E11" s="29"/>
      <c r="F11" s="29">
        <f>SUM(F9:F9)</f>
        <v>0</v>
      </c>
      <c r="G11" s="50">
        <f>SUM(G9:G9)</f>
        <v>0</v>
      </c>
      <c r="H11" s="51"/>
      <c r="I11" s="52">
        <f>SUM(I9:I9)</f>
        <v>0</v>
      </c>
      <c r="J11" s="53"/>
      <c r="K11" s="54"/>
      <c r="M11" s="1"/>
      <c r="N11" s="1"/>
      <c r="O11" s="20"/>
      <c r="P11" s="21"/>
      <c r="Q11" s="1"/>
      <c r="R11" s="1"/>
      <c r="S11" s="25"/>
    </row>
    <row r="12" spans="1:20" s="18" customFormat="1" ht="23.25" customHeight="1">
      <c r="A12" s="7"/>
      <c r="B12"/>
      <c r="C12" s="8"/>
      <c r="D12" s="9"/>
      <c r="E12" s="8"/>
      <c r="F12" s="10"/>
      <c r="G12" s="10"/>
      <c r="H12" s="10"/>
      <c r="I12" s="10"/>
      <c r="J12" s="10"/>
      <c r="K12"/>
      <c r="M12" s="1"/>
      <c r="N12" s="1"/>
      <c r="O12" s="20"/>
      <c r="P12" s="21"/>
      <c r="Q12" s="1"/>
      <c r="R12" s="1"/>
      <c r="S12" s="25"/>
    </row>
    <row r="13" spans="1:20" s="18" customFormat="1" ht="23.25" customHeight="1">
      <c r="A13" s="7"/>
      <c r="B13"/>
      <c r="C13" s="8"/>
      <c r="D13" s="9"/>
      <c r="E13" s="8"/>
      <c r="F13" s="10"/>
      <c r="G13" s="10"/>
      <c r="H13" s="10"/>
      <c r="I13" s="10"/>
      <c r="J13" s="10"/>
      <c r="K13"/>
      <c r="M13" s="1"/>
      <c r="N13" s="1"/>
      <c r="O13" s="20"/>
      <c r="P13"/>
      <c r="Q13" s="1"/>
      <c r="R13" s="1"/>
      <c r="S13" s="25"/>
    </row>
    <row r="14" spans="1:20" s="18" customFormat="1" ht="23.25" customHeight="1">
      <c r="A14" s="7"/>
      <c r="B14"/>
      <c r="C14" s="8"/>
      <c r="D14"/>
      <c r="E14" s="8"/>
      <c r="F14" s="10"/>
      <c r="G14" s="10"/>
      <c r="H14" s="10"/>
      <c r="I14" s="10"/>
      <c r="J14" s="10"/>
      <c r="K14"/>
      <c r="M14" s="1"/>
      <c r="N14" s="1"/>
      <c r="O14"/>
      <c r="P14"/>
      <c r="Q14" s="1"/>
      <c r="R14" s="1"/>
      <c r="S14" s="25"/>
    </row>
    <row r="15" spans="1:20" s="18" customFormat="1" ht="23.25" customHeight="1">
      <c r="A15" s="7"/>
      <c r="B15"/>
      <c r="C15" s="8"/>
      <c r="D15" s="9"/>
      <c r="E15" s="8"/>
      <c r="F15" s="10"/>
      <c r="G15" s="10"/>
      <c r="H15" s="10"/>
      <c r="I15" s="10"/>
      <c r="J15" s="10"/>
      <c r="K15"/>
      <c r="M15" s="1"/>
      <c r="N15" s="1"/>
      <c r="O15"/>
      <c r="P15"/>
      <c r="Q15" s="1"/>
      <c r="R15" s="1"/>
      <c r="S15" s="25"/>
    </row>
    <row r="16" spans="1:20" s="18" customFormat="1" ht="23.25" customHeight="1">
      <c r="A16" s="7"/>
      <c r="B16"/>
      <c r="C16" s="8"/>
      <c r="D16" s="22"/>
      <c r="E16" s="8"/>
      <c r="F16" s="10"/>
      <c r="G16" s="10"/>
      <c r="H16" s="10"/>
      <c r="I16" s="10"/>
      <c r="J16" s="10"/>
      <c r="K16"/>
      <c r="M16" s="1"/>
      <c r="N16" s="1"/>
      <c r="O16" s="20"/>
      <c r="P16"/>
      <c r="Q16" s="1"/>
      <c r="R16" s="1"/>
      <c r="S16" s="25"/>
    </row>
    <row r="17" spans="1:19" s="18" customFormat="1" ht="23.25" customHeight="1">
      <c r="A17" s="7"/>
      <c r="B17"/>
      <c r="C17" s="8"/>
      <c r="D17" s="9"/>
      <c r="E17" s="8"/>
      <c r="F17" s="10"/>
      <c r="G17" s="10"/>
      <c r="H17" s="10"/>
      <c r="I17" s="10"/>
      <c r="J17" s="10"/>
      <c r="K17"/>
      <c r="M17" s="1"/>
      <c r="N17" s="1"/>
      <c r="O17"/>
      <c r="P17"/>
      <c r="Q17" s="1"/>
      <c r="R17" s="1"/>
      <c r="S17" s="25"/>
    </row>
    <row r="18" spans="1:19" s="18" customFormat="1" ht="23.25" customHeight="1">
      <c r="A18" s="7"/>
      <c r="B18"/>
      <c r="C18" s="8"/>
      <c r="D18" s="9"/>
      <c r="E18" s="8"/>
      <c r="F18" s="10"/>
      <c r="G18" s="10"/>
      <c r="H18" s="10"/>
      <c r="I18" s="10"/>
      <c r="J18" s="10"/>
      <c r="K18"/>
      <c r="M18" s="1"/>
      <c r="N18" s="1"/>
      <c r="O18"/>
      <c r="P18"/>
      <c r="Q18" s="1"/>
      <c r="R18" s="1"/>
      <c r="S18" s="25"/>
    </row>
    <row r="19" spans="1:19" s="18" customFormat="1" ht="23.25" customHeight="1">
      <c r="A19" s="7"/>
      <c r="B19"/>
      <c r="C19" s="8"/>
      <c r="D19" s="9"/>
      <c r="E19" s="8"/>
      <c r="F19" s="10"/>
      <c r="G19" s="10"/>
      <c r="H19" s="10"/>
      <c r="I19" s="10"/>
      <c r="J19" s="10"/>
      <c r="K19"/>
      <c r="M19" s="1"/>
      <c r="N19" s="1"/>
      <c r="O19"/>
      <c r="P19"/>
      <c r="Q19" s="1"/>
      <c r="R19" s="1"/>
      <c r="S19" s="25"/>
    </row>
    <row r="20" spans="1:19" s="18" customFormat="1" ht="23.25" customHeight="1">
      <c r="A20" s="7"/>
      <c r="B20"/>
      <c r="C20" s="8"/>
      <c r="D20" s="9"/>
      <c r="E20" s="8"/>
      <c r="F20" s="10"/>
      <c r="G20" s="10"/>
      <c r="H20" s="10"/>
      <c r="I20" s="10"/>
      <c r="J20" s="10"/>
      <c r="K20"/>
      <c r="M20" s="1"/>
      <c r="N20" s="1"/>
      <c r="O20"/>
      <c r="P20"/>
      <c r="Q20" s="1"/>
      <c r="R20" s="1"/>
      <c r="S20" s="25"/>
    </row>
    <row r="21" spans="1:19" s="18" customFormat="1" ht="23.25" customHeight="1">
      <c r="A21" s="7"/>
      <c r="B21"/>
      <c r="C21" s="8"/>
      <c r="D21" s="9"/>
      <c r="E21" s="8"/>
      <c r="F21" s="10"/>
      <c r="G21" s="10"/>
      <c r="H21" s="10"/>
      <c r="I21" s="10"/>
      <c r="J21" s="10"/>
      <c r="K21"/>
      <c r="M21" s="1"/>
      <c r="N21" s="1"/>
      <c r="O21"/>
      <c r="P21"/>
      <c r="Q21" s="1"/>
      <c r="R21" s="1"/>
      <c r="S21" s="25"/>
    </row>
    <row r="22" spans="1:19" s="18" customFormat="1" ht="23.25" customHeight="1">
      <c r="A22" s="7"/>
      <c r="B22"/>
      <c r="C22" s="8"/>
      <c r="D22" s="9"/>
      <c r="E22" s="8"/>
      <c r="F22" s="10"/>
      <c r="G22" s="10"/>
      <c r="H22" s="10"/>
      <c r="I22" s="10"/>
      <c r="J22" s="10"/>
      <c r="K22"/>
      <c r="M22" s="1"/>
      <c r="N22" s="1"/>
      <c r="O22"/>
      <c r="P22"/>
      <c r="Q22" s="1"/>
      <c r="R22" s="1"/>
      <c r="S22" s="25"/>
    </row>
    <row r="23" spans="1:19" s="18" customFormat="1" ht="23.25" customHeight="1">
      <c r="A23" s="7"/>
      <c r="B23"/>
      <c r="C23" s="8"/>
      <c r="D23" s="9"/>
      <c r="E23" s="8"/>
      <c r="F23" s="10"/>
      <c r="G23" s="10"/>
      <c r="H23" s="10"/>
      <c r="I23" s="10"/>
      <c r="J23" s="10"/>
      <c r="K23"/>
      <c r="M23" s="1"/>
      <c r="N23" s="1"/>
      <c r="O23"/>
      <c r="P23"/>
      <c r="Q23" s="1"/>
      <c r="R23" s="1"/>
      <c r="S23" s="25"/>
    </row>
    <row r="24" spans="1:19" s="18" customFormat="1" ht="23.25" customHeight="1">
      <c r="A24" s="7"/>
      <c r="B24"/>
      <c r="C24" s="8"/>
      <c r="D24" s="9"/>
      <c r="E24" s="8"/>
      <c r="F24" s="10"/>
      <c r="G24" s="10"/>
      <c r="H24" s="10"/>
      <c r="I24" s="10"/>
      <c r="J24" s="10"/>
      <c r="K24"/>
      <c r="M24" s="1"/>
      <c r="N24" s="1"/>
      <c r="O24"/>
      <c r="P24"/>
      <c r="Q24" s="1"/>
      <c r="R24" s="1"/>
      <c r="S24" s="25"/>
    </row>
    <row r="25" spans="1:19" s="18" customFormat="1" ht="23.25" customHeight="1">
      <c r="A25" s="7"/>
      <c r="B25"/>
      <c r="C25" s="8"/>
      <c r="D25" s="9"/>
      <c r="E25" s="8"/>
      <c r="F25" s="10"/>
      <c r="G25" s="10"/>
      <c r="H25" s="10"/>
      <c r="I25" s="10"/>
      <c r="J25" s="10"/>
      <c r="K25"/>
      <c r="M25" s="1"/>
      <c r="N25" s="1"/>
      <c r="O25"/>
      <c r="P25"/>
      <c r="Q25" s="1"/>
      <c r="R25" s="1"/>
      <c r="S25" s="25"/>
    </row>
    <row r="26" spans="1:19" s="18" customFormat="1" ht="23.25" customHeight="1">
      <c r="A26" s="7"/>
      <c r="B26"/>
      <c r="C26" s="8"/>
      <c r="D26" s="9"/>
      <c r="E26" s="8"/>
      <c r="F26" s="10"/>
      <c r="G26" s="10"/>
      <c r="H26" s="10"/>
      <c r="I26" s="10"/>
      <c r="J26" s="10"/>
      <c r="K26"/>
      <c r="M26" s="1"/>
      <c r="N26" s="1"/>
      <c r="O26"/>
      <c r="P26"/>
      <c r="Q26" s="1"/>
      <c r="R26" s="1"/>
      <c r="S26" s="25"/>
    </row>
    <row r="27" spans="1:19" s="18" customFormat="1" ht="23.25" customHeight="1">
      <c r="A27" s="7"/>
      <c r="B27"/>
      <c r="C27" s="8"/>
      <c r="D27" s="9"/>
      <c r="E27" s="8"/>
      <c r="F27" s="10"/>
      <c r="G27" s="10"/>
      <c r="H27" s="10"/>
      <c r="I27" s="10"/>
      <c r="J27" s="10"/>
      <c r="K27"/>
      <c r="M27" s="1"/>
      <c r="N27" s="1"/>
      <c r="O27"/>
      <c r="P27"/>
      <c r="Q27" s="1"/>
      <c r="R27" s="1"/>
      <c r="S27" s="25"/>
    </row>
    <row r="28" spans="1:19" s="18" customFormat="1" ht="23.25" customHeight="1">
      <c r="A28" s="7"/>
      <c r="B28"/>
      <c r="C28" s="8"/>
      <c r="D28" s="9"/>
      <c r="E28" s="8"/>
      <c r="F28" s="10"/>
      <c r="G28" s="10"/>
      <c r="H28" s="10"/>
      <c r="I28" s="10"/>
      <c r="J28" s="10"/>
      <c r="K28"/>
      <c r="M28" s="1"/>
      <c r="N28" s="1"/>
      <c r="O28"/>
      <c r="P28"/>
      <c r="Q28" s="1"/>
      <c r="R28" s="1"/>
      <c r="S28" s="25"/>
    </row>
    <row r="29" spans="1:19" s="18" customFormat="1" ht="23.25" customHeight="1">
      <c r="A29" s="7"/>
      <c r="B29"/>
      <c r="C29" s="8"/>
      <c r="D29" s="9"/>
      <c r="E29" s="8"/>
      <c r="F29" s="10"/>
      <c r="G29" s="10"/>
      <c r="H29" s="10"/>
      <c r="I29" s="10"/>
      <c r="J29" s="10"/>
      <c r="K29"/>
      <c r="M29" s="1"/>
      <c r="N29" s="1"/>
      <c r="O29"/>
      <c r="P29"/>
      <c r="Q29" s="1"/>
      <c r="R29" s="1"/>
      <c r="S29" s="25"/>
    </row>
    <row r="30" spans="1:19" s="18" customFormat="1" ht="23.25" customHeight="1">
      <c r="A30" s="7"/>
      <c r="B30"/>
      <c r="C30" s="8"/>
      <c r="D30" s="9"/>
      <c r="E30" s="8"/>
      <c r="F30" s="10"/>
      <c r="G30" s="10"/>
      <c r="H30" s="10"/>
      <c r="I30" s="10"/>
      <c r="J30" s="10"/>
      <c r="K30"/>
      <c r="M30" s="1"/>
      <c r="N30" s="1"/>
      <c r="O30"/>
      <c r="P30"/>
      <c r="Q30" s="1"/>
      <c r="R30" s="1"/>
      <c r="S30" s="25"/>
    </row>
    <row r="31" spans="1:19" s="18" customFormat="1" ht="23.25" customHeight="1">
      <c r="A31" s="7"/>
      <c r="B31"/>
      <c r="C31" s="8"/>
      <c r="D31" s="9"/>
      <c r="E31" s="8"/>
      <c r="F31" s="10"/>
      <c r="G31" s="10"/>
      <c r="H31" s="10"/>
      <c r="I31" s="10"/>
      <c r="J31" s="10"/>
      <c r="K31"/>
      <c r="M31" s="1"/>
      <c r="N31" s="1"/>
      <c r="O31"/>
      <c r="P31"/>
      <c r="Q31" s="1"/>
      <c r="R31" s="1"/>
      <c r="S31" s="25"/>
    </row>
    <row r="32" spans="1:19" s="18" customFormat="1" ht="23.25" customHeight="1">
      <c r="A32" s="7"/>
      <c r="B32"/>
      <c r="C32" s="8"/>
      <c r="D32" s="9"/>
      <c r="E32" s="8"/>
      <c r="F32" s="10"/>
      <c r="G32" s="10"/>
      <c r="H32" s="10"/>
      <c r="I32" s="10"/>
      <c r="J32" s="10"/>
      <c r="K32"/>
      <c r="M32" s="1"/>
      <c r="N32" s="1"/>
      <c r="O32"/>
      <c r="P32"/>
      <c r="Q32" s="1"/>
      <c r="R32" s="1"/>
      <c r="S32" s="25"/>
    </row>
    <row r="33" spans="1:19" s="18" customFormat="1" ht="23.25" customHeight="1">
      <c r="A33" s="7"/>
      <c r="B33"/>
      <c r="C33" s="8"/>
      <c r="D33" s="9"/>
      <c r="E33" s="8"/>
      <c r="F33" s="10"/>
      <c r="G33" s="10"/>
      <c r="H33" s="10"/>
      <c r="I33" s="10"/>
      <c r="J33" s="10"/>
      <c r="K33"/>
      <c r="M33" s="1"/>
      <c r="N33" s="1"/>
      <c r="O33"/>
      <c r="P33"/>
      <c r="Q33" s="1"/>
      <c r="R33" s="1"/>
      <c r="S33" s="25"/>
    </row>
    <row r="34" spans="1:19" s="18" customFormat="1" ht="23.25" customHeight="1">
      <c r="A34" s="7"/>
      <c r="B34"/>
      <c r="C34" s="8"/>
      <c r="D34" s="9"/>
      <c r="E34" s="8"/>
      <c r="F34" s="10"/>
      <c r="G34" s="10"/>
      <c r="H34" s="10"/>
      <c r="I34" s="10"/>
      <c r="J34" s="10"/>
      <c r="K34"/>
      <c r="M34" s="1"/>
      <c r="N34" s="1"/>
      <c r="O34"/>
      <c r="P34"/>
      <c r="Q34" s="1"/>
      <c r="R34" s="1"/>
      <c r="S34" s="25"/>
    </row>
    <row r="35" spans="1:19" s="18" customFormat="1" ht="23.25" customHeight="1">
      <c r="A35" s="7"/>
      <c r="B35"/>
      <c r="C35" s="8"/>
      <c r="D35" s="9"/>
      <c r="E35" s="8"/>
      <c r="F35" s="10"/>
      <c r="G35" s="10"/>
      <c r="H35" s="10"/>
      <c r="I35" s="10"/>
      <c r="J35" s="10"/>
      <c r="K35"/>
      <c r="M35" s="1"/>
      <c r="N35" s="1"/>
      <c r="O35"/>
      <c r="P35"/>
      <c r="Q35" s="1"/>
      <c r="R35" s="1"/>
      <c r="S35" s="25"/>
    </row>
    <row r="36" spans="1:19" s="18" customFormat="1" ht="23.25" customHeight="1">
      <c r="A36" s="7"/>
      <c r="B36"/>
      <c r="C36" s="8"/>
      <c r="D36" s="9"/>
      <c r="E36" s="8"/>
      <c r="F36" s="10"/>
      <c r="G36" s="10"/>
      <c r="H36" s="10"/>
      <c r="I36" s="10"/>
      <c r="J36" s="10"/>
      <c r="K36"/>
      <c r="M36" s="1"/>
      <c r="N36" s="1"/>
      <c r="O36"/>
      <c r="P36"/>
      <c r="Q36" s="1"/>
      <c r="R36" s="1"/>
      <c r="S36" s="25"/>
    </row>
    <row r="37" spans="1:19" s="18" customFormat="1" ht="23.25" customHeight="1">
      <c r="A37" s="7"/>
      <c r="B37"/>
      <c r="C37" s="8"/>
      <c r="D37" s="9"/>
      <c r="E37" s="8"/>
      <c r="F37" s="10"/>
      <c r="G37" s="10"/>
      <c r="H37" s="10"/>
      <c r="I37" s="10"/>
      <c r="J37" s="10"/>
      <c r="K37"/>
      <c r="M37" s="1"/>
      <c r="N37" s="1"/>
      <c r="O37"/>
      <c r="P37"/>
      <c r="Q37" s="1"/>
      <c r="R37" s="1"/>
      <c r="S37" s="25"/>
    </row>
    <row r="38" spans="1:19" s="18" customFormat="1" ht="23.25" customHeight="1">
      <c r="A38" s="7"/>
      <c r="B38"/>
      <c r="C38" s="8"/>
      <c r="D38" s="9"/>
      <c r="E38" s="8"/>
      <c r="F38" s="10"/>
      <c r="G38" s="10"/>
      <c r="H38" s="10"/>
      <c r="I38" s="10"/>
      <c r="J38" s="10"/>
      <c r="K38"/>
      <c r="M38" s="1"/>
      <c r="N38" s="1"/>
      <c r="O38"/>
      <c r="P38"/>
      <c r="Q38" s="1"/>
      <c r="R38" s="1"/>
      <c r="S38" s="25"/>
    </row>
    <row r="39" spans="1:19" s="18" customFormat="1" ht="23.25" customHeight="1">
      <c r="A39" s="7"/>
      <c r="B39"/>
      <c r="C39" s="8"/>
      <c r="D39" s="9"/>
      <c r="E39" s="8"/>
      <c r="F39" s="10"/>
      <c r="G39" s="10"/>
      <c r="H39" s="10"/>
      <c r="I39" s="10"/>
      <c r="J39" s="10"/>
      <c r="K39"/>
      <c r="M39" s="1"/>
      <c r="N39" s="1"/>
      <c r="O39"/>
      <c r="P39"/>
      <c r="Q39" s="1"/>
      <c r="R39" s="1"/>
      <c r="S39" s="25"/>
    </row>
    <row r="40" spans="1:19" s="18" customFormat="1" ht="23.25" customHeight="1">
      <c r="A40" s="7"/>
      <c r="B40"/>
      <c r="C40" s="8"/>
      <c r="D40" s="9"/>
      <c r="E40" s="8"/>
      <c r="F40" s="10"/>
      <c r="G40" s="10"/>
      <c r="H40" s="10"/>
      <c r="I40" s="10"/>
      <c r="J40" s="10"/>
      <c r="K40"/>
      <c r="M40" s="1"/>
      <c r="N40" s="1"/>
      <c r="O40"/>
      <c r="P40"/>
      <c r="Q40" s="1"/>
      <c r="R40" s="1"/>
      <c r="S40" s="25"/>
    </row>
    <row r="41" spans="1:19" s="18" customFormat="1" ht="23.25" customHeight="1">
      <c r="A41" s="7"/>
      <c r="B41"/>
      <c r="C41" s="8"/>
      <c r="D41" s="9"/>
      <c r="E41" s="8"/>
      <c r="F41" s="10"/>
      <c r="G41" s="10"/>
      <c r="H41" s="10"/>
      <c r="I41" s="10"/>
      <c r="J41" s="10"/>
      <c r="K41"/>
      <c r="M41" s="1"/>
      <c r="N41" s="1"/>
      <c r="O41"/>
      <c r="P41"/>
      <c r="Q41" s="1"/>
      <c r="R41" s="1"/>
      <c r="S41" s="25"/>
    </row>
    <row r="42" spans="1:19" s="18" customFormat="1" ht="23.25" customHeight="1">
      <c r="A42" s="7"/>
      <c r="B42"/>
      <c r="C42" s="8"/>
      <c r="D42" s="9"/>
      <c r="E42" s="8"/>
      <c r="F42" s="10"/>
      <c r="G42" s="10"/>
      <c r="H42" s="10"/>
      <c r="I42" s="10"/>
      <c r="J42" s="10"/>
      <c r="K42"/>
      <c r="M42" s="1"/>
      <c r="N42" s="1"/>
      <c r="O42"/>
      <c r="P42"/>
      <c r="Q42" s="1"/>
      <c r="R42" s="1"/>
      <c r="S42" s="25"/>
    </row>
    <row r="43" spans="1:19" s="18" customFormat="1" ht="23.25" customHeight="1">
      <c r="A43" s="7"/>
      <c r="B43"/>
      <c r="C43" s="8"/>
      <c r="D43" s="9"/>
      <c r="E43" s="8"/>
      <c r="F43" s="10"/>
      <c r="G43" s="10"/>
      <c r="H43" s="10"/>
      <c r="I43" s="10"/>
      <c r="J43" s="10"/>
      <c r="K43"/>
      <c r="M43" s="1"/>
      <c r="N43" s="1"/>
      <c r="O43"/>
      <c r="P43"/>
      <c r="Q43" s="1"/>
      <c r="R43" s="1"/>
      <c r="S43" s="25"/>
    </row>
    <row r="44" spans="1:19" s="18" customFormat="1" ht="23.25" customHeight="1">
      <c r="A44" s="7"/>
      <c r="B44"/>
      <c r="C44" s="8"/>
      <c r="D44" s="9"/>
      <c r="E44" s="8"/>
      <c r="F44" s="10"/>
      <c r="G44" s="10"/>
      <c r="H44" s="10"/>
      <c r="I44" s="10"/>
      <c r="J44" s="10"/>
      <c r="K44"/>
      <c r="M44" s="1"/>
      <c r="N44" s="1"/>
      <c r="O44"/>
      <c r="P44"/>
      <c r="Q44" s="1"/>
      <c r="R44" s="1"/>
      <c r="S44" s="25"/>
    </row>
    <row r="45" spans="1:19" s="18" customFormat="1" ht="23.25" customHeight="1">
      <c r="A45" s="7"/>
      <c r="B45"/>
      <c r="C45" s="8"/>
      <c r="D45" s="9"/>
      <c r="E45" s="8"/>
      <c r="F45" s="10"/>
      <c r="G45" s="10"/>
      <c r="H45" s="10"/>
      <c r="I45" s="10"/>
      <c r="J45" s="10"/>
      <c r="K45"/>
      <c r="M45" s="1"/>
      <c r="N45" s="1"/>
      <c r="O45"/>
      <c r="P45"/>
      <c r="Q45" s="1"/>
      <c r="R45" s="1"/>
      <c r="S45" s="25"/>
    </row>
    <row r="46" spans="1:19" s="18" customFormat="1" ht="23.25" customHeight="1">
      <c r="A46" s="7"/>
      <c r="B46"/>
      <c r="C46" s="8"/>
      <c r="D46" s="9"/>
      <c r="E46" s="8"/>
      <c r="F46" s="10"/>
      <c r="G46" s="10"/>
      <c r="H46" s="10"/>
      <c r="I46" s="10"/>
      <c r="J46" s="10"/>
      <c r="K46"/>
      <c r="M46" s="1"/>
      <c r="N46" s="1"/>
      <c r="O46"/>
      <c r="P46"/>
      <c r="Q46" s="1"/>
      <c r="R46" s="1"/>
      <c r="S46" s="25"/>
    </row>
    <row r="47" spans="1:19" s="18" customFormat="1" ht="23.25" customHeight="1">
      <c r="A47" s="7"/>
      <c r="B47"/>
      <c r="C47" s="8"/>
      <c r="D47" s="9"/>
      <c r="E47" s="8"/>
      <c r="F47" s="10"/>
      <c r="G47" s="10"/>
      <c r="H47" s="10"/>
      <c r="I47" s="10"/>
      <c r="J47" s="10"/>
      <c r="K47"/>
      <c r="M47" s="1"/>
      <c r="N47" s="1"/>
      <c r="O47"/>
      <c r="P47"/>
      <c r="Q47" s="1"/>
      <c r="R47" s="1"/>
      <c r="S47" s="25"/>
    </row>
    <row r="48" spans="1:19" s="18" customFormat="1" ht="23.25" customHeight="1">
      <c r="A48" s="7"/>
      <c r="B48"/>
      <c r="C48" s="8"/>
      <c r="D48" s="9"/>
      <c r="E48" s="8"/>
      <c r="F48" s="10"/>
      <c r="G48" s="10"/>
      <c r="H48" s="10"/>
      <c r="I48" s="10"/>
      <c r="J48" s="10"/>
      <c r="K48"/>
      <c r="M48" s="1"/>
      <c r="N48" s="1"/>
      <c r="O48"/>
      <c r="P48"/>
      <c r="Q48" s="1"/>
      <c r="R48" s="1"/>
      <c r="S48" s="25"/>
    </row>
    <row r="49" spans="1:20" s="18" customFormat="1" ht="23.25" customHeight="1">
      <c r="A49" s="7"/>
      <c r="B49"/>
      <c r="C49" s="8"/>
      <c r="D49" s="9"/>
      <c r="E49" s="8"/>
      <c r="F49" s="10"/>
      <c r="G49" s="10"/>
      <c r="H49" s="10"/>
      <c r="I49" s="10"/>
      <c r="J49" s="10"/>
      <c r="K49"/>
      <c r="M49" s="1"/>
      <c r="N49" s="1"/>
      <c r="O49"/>
      <c r="P49"/>
      <c r="Q49" s="1"/>
      <c r="R49" s="1"/>
      <c r="S49" s="25"/>
    </row>
    <row r="50" spans="1:20" ht="23.25" customHeight="1">
      <c r="D50" s="9"/>
      <c r="F50" s="10"/>
      <c r="G50" s="10"/>
      <c r="H50" s="10"/>
      <c r="I50" s="10"/>
      <c r="J50" s="10"/>
      <c r="M50" s="1"/>
      <c r="N50" s="1"/>
      <c r="Q50" s="1"/>
      <c r="R50" s="1"/>
      <c r="S50" s="25"/>
      <c r="T50" s="18"/>
    </row>
    <row r="51" spans="1:20" ht="23.25" customHeight="1">
      <c r="D51" s="9"/>
      <c r="F51" s="10"/>
      <c r="G51" s="10"/>
      <c r="H51" s="10"/>
      <c r="I51" s="10"/>
      <c r="J51" s="10"/>
      <c r="M51" s="1"/>
      <c r="N51" s="1"/>
      <c r="Q51" s="1"/>
      <c r="R51" s="1"/>
      <c r="S51" s="25"/>
      <c r="T51" s="18"/>
    </row>
    <row r="52" spans="1:20" ht="17">
      <c r="D52" s="9"/>
      <c r="F52" s="10"/>
      <c r="G52" s="10"/>
      <c r="H52" s="10"/>
      <c r="I52" s="10"/>
      <c r="J52" s="10"/>
      <c r="M52" s="1"/>
      <c r="N52" s="1"/>
      <c r="Q52" s="1"/>
      <c r="R52" s="1"/>
      <c r="S52" s="25"/>
      <c r="T52" s="18"/>
    </row>
    <row r="53" spans="1:20" ht="17">
      <c r="D53" s="9"/>
      <c r="F53" s="10"/>
      <c r="G53" s="10"/>
      <c r="H53" s="10"/>
      <c r="I53" s="10"/>
      <c r="J53" s="10"/>
      <c r="M53" s="1"/>
      <c r="N53" s="1"/>
      <c r="Q53" s="1"/>
      <c r="R53" s="1"/>
      <c r="S53" s="25"/>
      <c r="T53" s="18"/>
    </row>
    <row r="54" spans="1:20" ht="17">
      <c r="D54" s="9"/>
      <c r="F54" s="10"/>
      <c r="G54" s="10"/>
      <c r="H54" s="10"/>
      <c r="I54" s="10"/>
      <c r="J54" s="10"/>
      <c r="M54" s="1"/>
      <c r="N54" s="1"/>
      <c r="Q54" s="1"/>
      <c r="R54" s="1"/>
      <c r="S54" s="25"/>
      <c r="T54" s="18"/>
    </row>
    <row r="55" spans="1:20" ht="17">
      <c r="D55" s="9"/>
      <c r="F55" s="10"/>
      <c r="G55" s="10"/>
      <c r="H55" s="10"/>
      <c r="I55" s="10"/>
      <c r="J55" s="10"/>
      <c r="M55" s="1"/>
      <c r="N55" s="1"/>
      <c r="Q55" s="1"/>
      <c r="R55" s="1"/>
      <c r="S55" s="25"/>
      <c r="T55" s="18"/>
    </row>
    <row r="56" spans="1:20" ht="17">
      <c r="D56" s="9"/>
      <c r="F56" s="10"/>
      <c r="G56" s="10"/>
      <c r="H56" s="10"/>
      <c r="I56" s="10"/>
      <c r="J56" s="10"/>
      <c r="M56" s="1"/>
      <c r="N56" s="1"/>
      <c r="Q56" s="1"/>
      <c r="R56" s="1"/>
      <c r="S56" s="25"/>
      <c r="T56" s="18"/>
    </row>
    <row r="57" spans="1:20" ht="17">
      <c r="D57" s="9"/>
      <c r="F57" s="10"/>
      <c r="G57" s="10"/>
      <c r="H57" s="10"/>
      <c r="I57" s="10"/>
      <c r="J57" s="10"/>
      <c r="M57" s="1"/>
      <c r="N57" s="1"/>
      <c r="Q57" s="1"/>
      <c r="R57" s="1"/>
      <c r="S57" s="25"/>
      <c r="T57" s="18"/>
    </row>
    <row r="58" spans="1:20" ht="17">
      <c r="D58" s="9"/>
      <c r="F58" s="10"/>
      <c r="G58" s="10"/>
      <c r="H58" s="10"/>
      <c r="I58" s="10"/>
      <c r="J58" s="10"/>
      <c r="M58" s="1"/>
      <c r="N58" s="1"/>
      <c r="Q58" s="1"/>
      <c r="R58" s="1"/>
      <c r="S58" s="25"/>
      <c r="T58" s="18"/>
    </row>
    <row r="59" spans="1:20" ht="17">
      <c r="D59" s="9"/>
      <c r="F59" s="10"/>
      <c r="G59" s="10"/>
      <c r="H59" s="10"/>
      <c r="I59" s="10"/>
      <c r="J59" s="10"/>
      <c r="M59" s="1"/>
      <c r="N59" s="1"/>
      <c r="Q59" s="1"/>
      <c r="R59" s="1"/>
      <c r="S59" s="25"/>
      <c r="T59" s="18"/>
    </row>
    <row r="60" spans="1:20" ht="17">
      <c r="D60" s="9"/>
      <c r="F60" s="10"/>
      <c r="G60" s="10"/>
      <c r="H60" s="10"/>
      <c r="I60" s="10"/>
      <c r="J60" s="10"/>
      <c r="M60" s="1"/>
      <c r="N60" s="1"/>
      <c r="Q60" s="1"/>
      <c r="R60" s="1"/>
      <c r="S60" s="25"/>
      <c r="T60" s="18"/>
    </row>
    <row r="61" spans="1:20" ht="17">
      <c r="D61" s="9"/>
      <c r="F61" s="10"/>
      <c r="G61" s="10"/>
      <c r="H61" s="10"/>
      <c r="I61" s="10"/>
      <c r="J61" s="10"/>
      <c r="M61" s="1"/>
      <c r="N61" s="1"/>
      <c r="Q61" s="1"/>
      <c r="R61" s="1"/>
      <c r="S61" s="25"/>
      <c r="T61" s="18"/>
    </row>
    <row r="62" spans="1:20" ht="17">
      <c r="D62" s="9"/>
      <c r="F62" s="10"/>
      <c r="G62" s="10"/>
      <c r="H62" s="10"/>
      <c r="I62" s="10"/>
      <c r="J62" s="10"/>
      <c r="M62" s="1"/>
      <c r="N62" s="1"/>
      <c r="Q62" s="1"/>
      <c r="R62" s="1"/>
      <c r="S62" s="25"/>
      <c r="T62" s="18"/>
    </row>
    <row r="63" spans="1:20" ht="17">
      <c r="D63" s="9"/>
      <c r="F63" s="10"/>
      <c r="G63" s="10"/>
      <c r="H63" s="10"/>
      <c r="I63" s="10"/>
      <c r="J63" s="10"/>
      <c r="M63" s="1"/>
      <c r="N63" s="1"/>
      <c r="Q63" s="1"/>
      <c r="R63" s="1"/>
      <c r="S63" s="25"/>
      <c r="T63" s="18"/>
    </row>
    <row r="64" spans="1:20" ht="17">
      <c r="D64" s="9"/>
      <c r="F64" s="10"/>
      <c r="G64" s="10"/>
      <c r="H64" s="10"/>
      <c r="I64" s="10"/>
      <c r="J64" s="10"/>
      <c r="M64" s="1"/>
      <c r="N64" s="1"/>
      <c r="Q64" s="1"/>
      <c r="R64" s="1"/>
      <c r="S64" s="25"/>
      <c r="T64" s="18"/>
    </row>
    <row r="65" spans="4:20" ht="17">
      <c r="D65" s="9"/>
      <c r="F65" s="10"/>
      <c r="G65" s="10"/>
      <c r="H65" s="10"/>
      <c r="I65" s="10"/>
      <c r="J65" s="10"/>
      <c r="M65" s="1"/>
      <c r="N65" s="1"/>
      <c r="Q65" s="1"/>
      <c r="R65" s="1"/>
      <c r="S65" s="25"/>
      <c r="T65" s="18"/>
    </row>
    <row r="66" spans="4:20" ht="17">
      <c r="D66" s="9"/>
      <c r="F66" s="10"/>
      <c r="G66" s="10"/>
      <c r="H66" s="10"/>
      <c r="I66" s="10"/>
      <c r="J66" s="10"/>
      <c r="M66" s="1"/>
      <c r="N66" s="1"/>
      <c r="Q66" s="1"/>
      <c r="R66" s="1"/>
      <c r="S66" s="25"/>
      <c r="T66" s="18"/>
    </row>
    <row r="67" spans="4:20" ht="17">
      <c r="D67" s="9"/>
      <c r="F67" s="10"/>
      <c r="G67" s="10"/>
      <c r="H67" s="10"/>
      <c r="I67" s="10"/>
      <c r="J67" s="10"/>
      <c r="M67" s="1"/>
      <c r="N67" s="1"/>
      <c r="Q67" s="1"/>
      <c r="R67" s="1"/>
      <c r="S67" s="25"/>
      <c r="T67" s="18"/>
    </row>
    <row r="68" spans="4:20" ht="17">
      <c r="D68" s="9"/>
      <c r="F68" s="10"/>
      <c r="G68" s="10"/>
      <c r="H68" s="10"/>
      <c r="I68" s="10"/>
      <c r="J68" s="10"/>
      <c r="M68" s="1"/>
      <c r="N68" s="1"/>
      <c r="Q68" s="1"/>
      <c r="R68" s="1"/>
      <c r="S68" s="25"/>
      <c r="T68" s="18"/>
    </row>
    <row r="69" spans="4:20" ht="17">
      <c r="D69" s="9"/>
      <c r="F69" s="10"/>
      <c r="G69" s="10"/>
      <c r="H69" s="10"/>
      <c r="I69" s="10"/>
      <c r="J69" s="10"/>
      <c r="M69" s="1"/>
      <c r="N69" s="1"/>
      <c r="Q69" s="1"/>
      <c r="R69" s="1"/>
      <c r="S69" s="25"/>
      <c r="T69" s="18"/>
    </row>
    <row r="70" spans="4:20" ht="17">
      <c r="D70" s="9"/>
      <c r="F70" s="10"/>
      <c r="G70" s="10"/>
      <c r="H70" s="10"/>
      <c r="I70" s="10"/>
      <c r="J70" s="10"/>
      <c r="M70" s="1"/>
      <c r="N70" s="1"/>
      <c r="Q70" s="1"/>
      <c r="R70" s="1"/>
      <c r="S70" s="25"/>
      <c r="T70" s="18"/>
    </row>
    <row r="71" spans="4:20" ht="17">
      <c r="D71" s="9"/>
      <c r="F71" s="10"/>
      <c r="G71" s="10"/>
      <c r="H71" s="10"/>
      <c r="I71" s="10"/>
      <c r="J71" s="10"/>
      <c r="M71" s="1"/>
      <c r="N71" s="1"/>
      <c r="Q71" s="1"/>
      <c r="R71" s="1"/>
      <c r="S71" s="25"/>
      <c r="T71" s="18"/>
    </row>
    <row r="72" spans="4:20" ht="17">
      <c r="D72" s="9"/>
      <c r="F72" s="10"/>
      <c r="G72" s="10"/>
      <c r="H72" s="10"/>
      <c r="I72" s="10"/>
      <c r="J72" s="10"/>
      <c r="M72" s="1"/>
      <c r="N72" s="1"/>
      <c r="Q72" s="1"/>
      <c r="R72" s="1"/>
      <c r="S72" s="25"/>
      <c r="T72" s="18"/>
    </row>
    <row r="73" spans="4:20" ht="17">
      <c r="D73" s="9"/>
      <c r="F73" s="10"/>
      <c r="G73" s="10"/>
      <c r="H73" s="10"/>
      <c r="I73" s="10"/>
      <c r="J73" s="10"/>
      <c r="M73" s="1"/>
      <c r="N73" s="1"/>
      <c r="Q73" s="1"/>
      <c r="R73" s="1"/>
      <c r="S73" s="25"/>
      <c r="T73" s="18"/>
    </row>
    <row r="74" spans="4:20" ht="17">
      <c r="D74" s="9"/>
      <c r="F74" s="10"/>
      <c r="G74" s="10"/>
      <c r="H74" s="10"/>
      <c r="I74" s="10"/>
      <c r="J74" s="10"/>
      <c r="M74" s="1"/>
      <c r="N74" s="1"/>
      <c r="Q74" s="1"/>
      <c r="R74" s="1"/>
      <c r="S74" s="25"/>
      <c r="T74" s="18"/>
    </row>
    <row r="75" spans="4:20" ht="17">
      <c r="D75" s="9"/>
      <c r="F75" s="10"/>
      <c r="G75" s="10"/>
      <c r="H75" s="10"/>
      <c r="I75" s="10"/>
      <c r="J75" s="10"/>
      <c r="M75" s="1"/>
      <c r="N75" s="1"/>
      <c r="Q75" s="1"/>
      <c r="R75" s="1"/>
      <c r="S75" s="25"/>
      <c r="T75" s="18"/>
    </row>
    <row r="76" spans="4:20" ht="17">
      <c r="D76" s="9"/>
      <c r="F76" s="10"/>
      <c r="G76" s="10"/>
      <c r="H76" s="10"/>
      <c r="I76" s="10"/>
      <c r="J76" s="10"/>
      <c r="M76" s="1"/>
      <c r="N76" s="1"/>
      <c r="Q76" s="1"/>
      <c r="R76" s="1"/>
      <c r="S76" s="25"/>
      <c r="T76" s="18"/>
    </row>
    <row r="77" spans="4:20" ht="17">
      <c r="D77" s="9"/>
      <c r="F77" s="10"/>
      <c r="G77" s="10"/>
      <c r="H77" s="10"/>
      <c r="I77" s="10"/>
      <c r="J77" s="10"/>
      <c r="M77" s="1"/>
      <c r="N77" s="1"/>
      <c r="Q77" s="1"/>
      <c r="R77" s="1"/>
      <c r="S77" s="25"/>
      <c r="T77" s="18"/>
    </row>
    <row r="78" spans="4:20" ht="17">
      <c r="D78" s="9"/>
      <c r="F78" s="10"/>
      <c r="G78" s="10"/>
      <c r="H78" s="10"/>
      <c r="I78" s="10"/>
      <c r="J78" s="10"/>
      <c r="M78" s="1"/>
      <c r="N78" s="1"/>
      <c r="Q78" s="1"/>
      <c r="R78" s="1"/>
      <c r="S78" s="25"/>
      <c r="T78" s="18"/>
    </row>
    <row r="79" spans="4:20" ht="17">
      <c r="D79" s="9"/>
      <c r="F79" s="10"/>
      <c r="G79" s="10"/>
      <c r="H79" s="10"/>
      <c r="I79" s="10"/>
      <c r="J79" s="10"/>
      <c r="M79" s="1"/>
      <c r="N79" s="1"/>
      <c r="Q79" s="1"/>
      <c r="R79" s="1"/>
      <c r="S79" s="25"/>
      <c r="T79" s="18"/>
    </row>
    <row r="80" spans="4:20" ht="17">
      <c r="D80" s="9"/>
      <c r="F80" s="10"/>
      <c r="G80" s="10"/>
      <c r="H80" s="10"/>
      <c r="I80" s="10"/>
      <c r="J80" s="10"/>
      <c r="M80" s="1"/>
      <c r="N80" s="1"/>
      <c r="Q80" s="1"/>
      <c r="R80" s="1"/>
      <c r="S80" s="25"/>
      <c r="T80" s="18"/>
    </row>
    <row r="81" spans="4:20" ht="17">
      <c r="D81" s="9"/>
      <c r="F81" s="10"/>
      <c r="G81" s="10"/>
      <c r="H81" s="10"/>
      <c r="I81" s="10"/>
      <c r="J81" s="10"/>
      <c r="M81" s="1"/>
      <c r="N81" s="1"/>
      <c r="Q81" s="1"/>
      <c r="R81" s="1"/>
      <c r="S81" s="25"/>
      <c r="T81" s="18"/>
    </row>
    <row r="82" spans="4:20" ht="17">
      <c r="D82" s="9"/>
      <c r="F82" s="10"/>
      <c r="G82" s="10"/>
      <c r="H82" s="10"/>
      <c r="I82" s="10"/>
      <c r="J82" s="10"/>
      <c r="M82" s="1"/>
      <c r="N82" s="1"/>
      <c r="Q82" s="1"/>
      <c r="R82" s="1"/>
      <c r="S82" s="25"/>
      <c r="T82" s="18"/>
    </row>
    <row r="83" spans="4:20" ht="17">
      <c r="D83" s="9"/>
      <c r="F83" s="10"/>
      <c r="G83" s="10"/>
      <c r="H83" s="10"/>
      <c r="I83" s="10"/>
      <c r="J83" s="10"/>
      <c r="M83" s="1"/>
      <c r="N83" s="1"/>
      <c r="Q83" s="1"/>
      <c r="R83" s="1"/>
      <c r="S83" s="25"/>
      <c r="T83" s="18"/>
    </row>
    <row r="84" spans="4:20" ht="17">
      <c r="D84" s="9"/>
      <c r="F84" s="10"/>
      <c r="G84" s="10"/>
      <c r="H84" s="10"/>
      <c r="I84" s="10"/>
      <c r="J84" s="10"/>
      <c r="M84" s="1"/>
      <c r="N84" s="1"/>
      <c r="Q84" s="1"/>
      <c r="R84" s="1"/>
      <c r="S84" s="25"/>
      <c r="T84" s="18"/>
    </row>
    <row r="85" spans="4:20" ht="17">
      <c r="D85" s="9"/>
      <c r="F85" s="10"/>
      <c r="G85" s="10"/>
      <c r="H85" s="10"/>
      <c r="I85" s="10"/>
      <c r="J85" s="10"/>
      <c r="M85" s="1"/>
      <c r="N85" s="1"/>
      <c r="Q85" s="1"/>
      <c r="R85" s="1"/>
      <c r="S85" s="25"/>
      <c r="T85" s="18"/>
    </row>
    <row r="86" spans="4:20" ht="17">
      <c r="D86" s="9"/>
      <c r="F86" s="10"/>
      <c r="G86" s="10"/>
      <c r="H86" s="10"/>
      <c r="I86" s="10"/>
      <c r="J86" s="10"/>
      <c r="M86" s="1"/>
      <c r="N86" s="1"/>
      <c r="Q86" s="1"/>
      <c r="R86" s="1"/>
      <c r="S86" s="25"/>
      <c r="T86" s="18"/>
    </row>
    <row r="87" spans="4:20" ht="17">
      <c r="D87" s="9"/>
      <c r="F87" s="10"/>
      <c r="G87" s="10"/>
      <c r="H87" s="10"/>
      <c r="I87" s="10"/>
      <c r="J87" s="10"/>
      <c r="M87" s="1"/>
      <c r="N87" s="1"/>
      <c r="Q87" s="1"/>
      <c r="R87" s="1"/>
      <c r="S87" s="25"/>
      <c r="T87" s="18"/>
    </row>
    <row r="88" spans="4:20" ht="17">
      <c r="D88" s="9"/>
      <c r="F88" s="10"/>
      <c r="G88" s="10"/>
      <c r="H88" s="10"/>
      <c r="I88" s="10"/>
      <c r="J88" s="10"/>
      <c r="M88" s="1"/>
      <c r="N88" s="1"/>
      <c r="Q88" s="1"/>
      <c r="R88" s="1"/>
      <c r="S88" s="25"/>
      <c r="T88" s="18"/>
    </row>
    <row r="89" spans="4:20" ht="17">
      <c r="D89" s="9"/>
      <c r="F89" s="10"/>
      <c r="G89" s="10"/>
      <c r="H89" s="10"/>
      <c r="I89" s="10"/>
      <c r="J89" s="10"/>
      <c r="M89" s="1"/>
      <c r="N89" s="1"/>
      <c r="Q89" s="1"/>
      <c r="R89" s="1"/>
      <c r="S89" s="25"/>
      <c r="T89" s="18"/>
    </row>
    <row r="90" spans="4:20" ht="17">
      <c r="D90" s="9"/>
      <c r="F90" s="10"/>
      <c r="G90" s="10"/>
      <c r="H90" s="10"/>
      <c r="I90" s="10"/>
      <c r="J90" s="10"/>
      <c r="M90" s="1"/>
      <c r="N90" s="1"/>
      <c r="Q90" s="1"/>
      <c r="R90" s="1"/>
      <c r="S90" s="25"/>
      <c r="T90" s="18"/>
    </row>
    <row r="91" spans="4:20" ht="17">
      <c r="D91" s="9"/>
      <c r="F91" s="10"/>
      <c r="G91" s="10"/>
      <c r="H91" s="10"/>
      <c r="I91" s="10"/>
      <c r="J91" s="10"/>
      <c r="M91" s="1"/>
      <c r="N91" s="1"/>
      <c r="Q91" s="1"/>
      <c r="R91" s="1"/>
      <c r="S91" s="25"/>
      <c r="T91" s="18"/>
    </row>
    <row r="92" spans="4:20" ht="17">
      <c r="D92" s="9"/>
      <c r="F92" s="10"/>
      <c r="G92" s="10"/>
      <c r="H92" s="10"/>
      <c r="I92" s="10"/>
      <c r="J92" s="10"/>
      <c r="M92" s="1"/>
      <c r="N92" s="1"/>
      <c r="Q92" s="1"/>
      <c r="R92" s="1"/>
      <c r="S92" s="25"/>
      <c r="T92" s="18"/>
    </row>
    <row r="93" spans="4:20" ht="17">
      <c r="D93" s="9"/>
      <c r="F93" s="10"/>
      <c r="G93" s="10"/>
      <c r="H93" s="10"/>
      <c r="I93" s="10"/>
      <c r="J93" s="10"/>
      <c r="M93" s="1"/>
      <c r="N93" s="1"/>
      <c r="Q93" s="1"/>
      <c r="R93" s="1"/>
      <c r="S93" s="25"/>
      <c r="T93" s="18"/>
    </row>
    <row r="94" spans="4:20" ht="17">
      <c r="D94" s="9"/>
      <c r="F94" s="10"/>
      <c r="G94" s="10"/>
      <c r="H94" s="10"/>
      <c r="I94" s="10"/>
      <c r="J94" s="10"/>
      <c r="M94" s="1"/>
      <c r="N94" s="1"/>
      <c r="Q94" s="1"/>
      <c r="R94" s="1"/>
      <c r="S94" s="25"/>
      <c r="T94" s="18"/>
    </row>
    <row r="95" spans="4:20" ht="17">
      <c r="D95" s="9"/>
      <c r="F95" s="10"/>
      <c r="G95" s="10"/>
      <c r="H95" s="10"/>
      <c r="I95" s="10"/>
      <c r="J95" s="10"/>
      <c r="M95" s="1"/>
      <c r="N95" s="1"/>
      <c r="Q95" s="1"/>
      <c r="R95" s="1"/>
      <c r="S95" s="25"/>
      <c r="T95" s="18"/>
    </row>
    <row r="96" spans="4:20" ht="17">
      <c r="D96" s="9"/>
      <c r="F96" s="10"/>
      <c r="G96" s="10"/>
      <c r="H96" s="10"/>
      <c r="I96" s="10"/>
      <c r="J96" s="10"/>
      <c r="M96" s="1"/>
      <c r="N96" s="1"/>
      <c r="Q96" s="1"/>
      <c r="R96" s="1"/>
      <c r="S96" s="25"/>
      <c r="T96" s="18"/>
    </row>
    <row r="97" spans="4:20" ht="17">
      <c r="D97" s="9"/>
      <c r="F97" s="10"/>
      <c r="G97" s="10"/>
      <c r="H97" s="10"/>
      <c r="I97" s="10"/>
      <c r="J97" s="10"/>
      <c r="M97" s="1"/>
      <c r="N97" s="1"/>
      <c r="Q97" s="1"/>
      <c r="R97" s="1"/>
      <c r="S97" s="25"/>
      <c r="T97" s="18"/>
    </row>
    <row r="98" spans="4:20" ht="17">
      <c r="D98" s="9"/>
      <c r="F98" s="10"/>
      <c r="G98" s="10"/>
      <c r="H98" s="10"/>
      <c r="I98" s="10"/>
      <c r="J98" s="10"/>
      <c r="M98" s="1"/>
      <c r="N98" s="1"/>
      <c r="Q98" s="1"/>
      <c r="R98" s="1"/>
      <c r="S98" s="25"/>
      <c r="T98" s="18"/>
    </row>
    <row r="99" spans="4:20" ht="17">
      <c r="D99" s="9"/>
      <c r="F99" s="10"/>
      <c r="G99" s="10"/>
      <c r="H99" s="10"/>
      <c r="I99" s="10"/>
      <c r="J99" s="10"/>
      <c r="M99" s="1"/>
      <c r="N99" s="1"/>
      <c r="Q99" s="1"/>
      <c r="R99" s="1"/>
      <c r="S99" s="25"/>
      <c r="T99" s="18"/>
    </row>
    <row r="100" spans="4:20" ht="17">
      <c r="D100" s="9"/>
      <c r="F100" s="10"/>
      <c r="G100" s="10"/>
      <c r="H100" s="10"/>
      <c r="I100" s="10"/>
      <c r="J100" s="10"/>
      <c r="M100" s="1"/>
      <c r="N100" s="1"/>
      <c r="Q100" s="1"/>
      <c r="R100" s="1"/>
      <c r="S100" s="25"/>
      <c r="T100" s="18"/>
    </row>
    <row r="101" spans="4:20" ht="17">
      <c r="D101" s="9"/>
      <c r="F101" s="10"/>
      <c r="G101" s="10"/>
      <c r="H101" s="10"/>
      <c r="I101" s="10"/>
      <c r="J101" s="10"/>
      <c r="M101" s="1"/>
      <c r="N101" s="1"/>
      <c r="Q101" s="1"/>
      <c r="R101" s="1"/>
      <c r="S101" s="25"/>
      <c r="T101" s="18"/>
    </row>
    <row r="102" spans="4:20" ht="17">
      <c r="D102" s="9"/>
      <c r="F102" s="10"/>
      <c r="G102" s="10"/>
      <c r="H102" s="10"/>
      <c r="I102" s="10"/>
      <c r="J102" s="10"/>
      <c r="M102" s="1"/>
      <c r="N102" s="1"/>
      <c r="Q102" s="1"/>
      <c r="R102" s="1"/>
      <c r="S102" s="25"/>
      <c r="T102" s="18"/>
    </row>
    <row r="103" spans="4:20" ht="17">
      <c r="D103" s="9"/>
      <c r="F103" s="10"/>
      <c r="G103" s="10"/>
      <c r="H103" s="10"/>
      <c r="I103" s="10"/>
      <c r="J103" s="10"/>
      <c r="M103" s="1"/>
      <c r="N103" s="1"/>
      <c r="Q103" s="1"/>
      <c r="R103" s="1"/>
      <c r="S103" s="25"/>
      <c r="T103" s="18"/>
    </row>
    <row r="104" spans="4:20" ht="17">
      <c r="D104" s="9"/>
      <c r="F104" s="10"/>
      <c r="G104" s="10"/>
      <c r="H104" s="10"/>
      <c r="I104" s="10"/>
      <c r="J104" s="10"/>
      <c r="M104" s="1"/>
      <c r="N104" s="1"/>
      <c r="Q104" s="1"/>
      <c r="R104" s="1"/>
      <c r="S104" s="25"/>
      <c r="T104" s="18"/>
    </row>
    <row r="105" spans="4:20" ht="17">
      <c r="D105" s="9"/>
      <c r="F105" s="10"/>
      <c r="G105" s="10"/>
      <c r="H105" s="10"/>
      <c r="I105" s="10"/>
      <c r="J105" s="10"/>
      <c r="M105" s="1"/>
      <c r="N105" s="1"/>
      <c r="Q105" s="1"/>
      <c r="R105" s="1"/>
      <c r="S105" s="25"/>
      <c r="T105" s="18"/>
    </row>
    <row r="106" spans="4:20" ht="17">
      <c r="D106" s="9"/>
      <c r="F106" s="10"/>
      <c r="G106" s="10"/>
      <c r="H106" s="10"/>
      <c r="I106" s="10"/>
      <c r="J106" s="10"/>
      <c r="M106" s="1"/>
      <c r="N106" s="1"/>
      <c r="Q106" s="1"/>
      <c r="R106" s="1"/>
      <c r="S106" s="25"/>
      <c r="T106" s="18"/>
    </row>
    <row r="107" spans="4:20" ht="17">
      <c r="D107" s="9"/>
      <c r="F107" s="10"/>
      <c r="G107" s="10"/>
      <c r="H107" s="10"/>
      <c r="I107" s="10"/>
      <c r="J107" s="10"/>
      <c r="M107" s="1"/>
      <c r="N107" s="1"/>
      <c r="Q107" s="1"/>
      <c r="R107" s="1"/>
      <c r="S107" s="25"/>
      <c r="T107" s="18"/>
    </row>
    <row r="108" spans="4:20" ht="17">
      <c r="D108" s="9"/>
      <c r="F108" s="10"/>
      <c r="G108" s="10"/>
      <c r="H108" s="10"/>
      <c r="I108" s="10"/>
      <c r="J108" s="10"/>
      <c r="M108" s="1"/>
      <c r="N108" s="1"/>
      <c r="Q108" s="1"/>
      <c r="R108" s="1"/>
      <c r="S108" s="25"/>
      <c r="T108" s="18"/>
    </row>
    <row r="109" spans="4:20" ht="17">
      <c r="D109" s="9"/>
      <c r="F109" s="10"/>
      <c r="G109" s="10"/>
      <c r="H109" s="10"/>
      <c r="I109" s="10"/>
      <c r="J109" s="10"/>
      <c r="M109" s="1"/>
      <c r="N109" s="1"/>
      <c r="Q109" s="1"/>
      <c r="R109" s="1"/>
      <c r="S109" s="25"/>
      <c r="T109" s="18"/>
    </row>
    <row r="110" spans="4:20" ht="17">
      <c r="D110" s="9"/>
      <c r="F110" s="10"/>
      <c r="G110" s="10"/>
      <c r="H110" s="10"/>
      <c r="I110" s="10"/>
      <c r="J110" s="10"/>
      <c r="M110" s="1"/>
      <c r="N110" s="1"/>
      <c r="Q110" s="1"/>
      <c r="R110" s="1"/>
      <c r="S110" s="25"/>
      <c r="T110" s="18"/>
    </row>
    <row r="111" spans="4:20" ht="17">
      <c r="D111" s="9"/>
      <c r="F111" s="10"/>
      <c r="G111" s="10"/>
      <c r="H111" s="10"/>
      <c r="I111" s="10"/>
      <c r="J111" s="10"/>
      <c r="M111" s="1"/>
      <c r="N111" s="1"/>
      <c r="Q111" s="1"/>
      <c r="R111" s="1"/>
      <c r="S111" s="25"/>
      <c r="T111" s="18"/>
    </row>
    <row r="112" spans="4:20" ht="17">
      <c r="D112" s="9"/>
      <c r="F112" s="10"/>
      <c r="G112" s="10"/>
      <c r="H112" s="10"/>
      <c r="I112" s="10"/>
      <c r="J112" s="10"/>
      <c r="M112" s="1"/>
      <c r="N112" s="1"/>
      <c r="Q112" s="1"/>
      <c r="R112" s="1"/>
      <c r="S112" s="25"/>
      <c r="T112" s="18"/>
    </row>
    <row r="113" spans="4:20" ht="17">
      <c r="D113" s="9"/>
      <c r="F113" s="10"/>
      <c r="G113" s="10"/>
      <c r="H113" s="10"/>
      <c r="I113" s="10"/>
      <c r="J113" s="10"/>
      <c r="M113" s="1"/>
      <c r="N113" s="1"/>
      <c r="Q113" s="1"/>
      <c r="R113" s="1"/>
      <c r="S113" s="25"/>
      <c r="T113" s="18"/>
    </row>
    <row r="114" spans="4:20" ht="17">
      <c r="D114" s="9"/>
      <c r="F114" s="10"/>
      <c r="G114" s="10"/>
      <c r="H114" s="10"/>
      <c r="I114" s="10"/>
      <c r="J114" s="10"/>
      <c r="M114" s="1"/>
      <c r="N114" s="1"/>
      <c r="Q114" s="1"/>
      <c r="R114" s="1"/>
      <c r="S114" s="25"/>
      <c r="T114" s="18"/>
    </row>
    <row r="115" spans="4:20" ht="17">
      <c r="D115" s="9"/>
      <c r="F115" s="10"/>
      <c r="G115" s="10"/>
      <c r="H115" s="10"/>
      <c r="I115" s="10"/>
      <c r="J115" s="10"/>
      <c r="M115" s="1"/>
      <c r="N115" s="1"/>
      <c r="Q115" s="1"/>
      <c r="R115" s="1"/>
      <c r="S115" s="25"/>
      <c r="T115" s="18"/>
    </row>
    <row r="116" spans="4:20" ht="17">
      <c r="D116" s="9"/>
      <c r="F116" s="10"/>
      <c r="G116" s="10"/>
      <c r="H116" s="10"/>
      <c r="I116" s="10"/>
      <c r="J116" s="10"/>
      <c r="M116" s="1"/>
      <c r="N116" s="1"/>
      <c r="Q116" s="1"/>
      <c r="R116" s="1"/>
      <c r="S116" s="25"/>
      <c r="T116" s="18"/>
    </row>
    <row r="117" spans="4:20" ht="17">
      <c r="D117" s="9"/>
      <c r="F117" s="10"/>
      <c r="G117" s="10"/>
      <c r="H117" s="10"/>
      <c r="I117" s="10"/>
      <c r="J117" s="10"/>
      <c r="M117" s="1"/>
      <c r="N117" s="1"/>
      <c r="Q117" s="1"/>
      <c r="R117" s="1"/>
      <c r="S117" s="25"/>
      <c r="T117" s="18"/>
    </row>
    <row r="118" spans="4:20" ht="17">
      <c r="D118" s="9"/>
      <c r="F118" s="10"/>
      <c r="G118" s="10"/>
      <c r="H118" s="10"/>
      <c r="I118" s="10"/>
      <c r="J118" s="10"/>
      <c r="M118" s="1"/>
      <c r="N118" s="1"/>
      <c r="Q118" s="1"/>
      <c r="R118" s="1"/>
      <c r="S118" s="25"/>
      <c r="T118" s="18"/>
    </row>
    <row r="119" spans="4:20" ht="17">
      <c r="D119" s="9"/>
      <c r="F119" s="10"/>
      <c r="G119" s="10"/>
      <c r="H119" s="10"/>
      <c r="I119" s="10"/>
      <c r="J119" s="10"/>
      <c r="M119" s="1"/>
      <c r="N119" s="1"/>
      <c r="Q119" s="1"/>
      <c r="R119" s="1"/>
      <c r="S119" s="25"/>
      <c r="T119" s="18"/>
    </row>
    <row r="120" spans="4:20" ht="17">
      <c r="D120" s="9"/>
      <c r="F120" s="10"/>
      <c r="G120" s="10"/>
      <c r="H120" s="10"/>
      <c r="I120" s="10"/>
      <c r="J120" s="10"/>
      <c r="M120" s="1"/>
      <c r="N120" s="1"/>
      <c r="Q120" s="1"/>
      <c r="R120" s="1"/>
      <c r="S120" s="25"/>
      <c r="T120" s="18"/>
    </row>
    <row r="121" spans="4:20" ht="17">
      <c r="D121" s="9"/>
      <c r="F121" s="10"/>
      <c r="G121" s="10"/>
      <c r="H121" s="10"/>
      <c r="I121" s="10"/>
      <c r="J121" s="10"/>
      <c r="M121" s="1"/>
      <c r="N121" s="1"/>
      <c r="Q121" s="1"/>
      <c r="R121" s="1"/>
      <c r="S121" s="25"/>
      <c r="T121" s="18"/>
    </row>
    <row r="122" spans="4:20" ht="17">
      <c r="D122" s="9"/>
      <c r="F122" s="10"/>
      <c r="G122" s="10"/>
      <c r="H122" s="10"/>
      <c r="I122" s="10"/>
      <c r="J122" s="10"/>
      <c r="M122" s="1"/>
      <c r="N122" s="1"/>
      <c r="Q122" s="1"/>
      <c r="R122" s="1"/>
      <c r="S122" s="25"/>
      <c r="T122" s="18"/>
    </row>
    <row r="123" spans="4:20" ht="17">
      <c r="D123" s="9"/>
      <c r="F123" s="10"/>
      <c r="G123" s="10"/>
      <c r="H123" s="10"/>
      <c r="I123" s="10"/>
      <c r="J123" s="10"/>
      <c r="M123" s="1"/>
      <c r="N123" s="1"/>
      <c r="Q123" s="1"/>
      <c r="R123" s="1"/>
      <c r="S123" s="25"/>
      <c r="T123" s="18"/>
    </row>
    <row r="124" spans="4:20" ht="17">
      <c r="D124" s="9"/>
      <c r="F124" s="10"/>
      <c r="G124" s="10"/>
      <c r="H124" s="10"/>
      <c r="I124" s="10"/>
      <c r="J124" s="10"/>
      <c r="M124" s="1"/>
      <c r="N124" s="1"/>
      <c r="Q124" s="1"/>
      <c r="R124" s="1"/>
      <c r="S124" s="25"/>
      <c r="T124" s="18"/>
    </row>
    <row r="125" spans="4:20" ht="17">
      <c r="D125" s="9"/>
      <c r="F125" s="10"/>
      <c r="G125" s="10"/>
      <c r="H125" s="10"/>
      <c r="I125" s="10"/>
      <c r="J125" s="10"/>
      <c r="M125" s="1"/>
      <c r="N125" s="1"/>
      <c r="Q125" s="1"/>
      <c r="R125" s="1"/>
      <c r="S125" s="25"/>
      <c r="T125" s="18"/>
    </row>
    <row r="126" spans="4:20" ht="17">
      <c r="D126" s="9"/>
      <c r="F126" s="10"/>
      <c r="G126" s="10"/>
      <c r="H126" s="10"/>
      <c r="I126" s="10"/>
      <c r="J126" s="10"/>
      <c r="M126" s="1"/>
      <c r="N126" s="1"/>
      <c r="Q126" s="1"/>
      <c r="R126" s="1"/>
      <c r="S126" s="25"/>
      <c r="T126" s="18"/>
    </row>
    <row r="127" spans="4:20" ht="17">
      <c r="D127" s="9"/>
      <c r="F127" s="10"/>
      <c r="G127" s="10"/>
      <c r="H127" s="10"/>
      <c r="I127" s="10"/>
      <c r="J127" s="10"/>
      <c r="M127" s="1"/>
      <c r="N127" s="1"/>
      <c r="Q127" s="1"/>
      <c r="R127" s="1"/>
      <c r="S127" s="25"/>
      <c r="T127" s="18"/>
    </row>
    <row r="128" spans="4:20" ht="17">
      <c r="D128" s="9"/>
      <c r="F128" s="10"/>
      <c r="G128" s="10"/>
      <c r="H128" s="10"/>
      <c r="I128" s="10"/>
      <c r="J128" s="10"/>
      <c r="M128" s="1"/>
      <c r="N128" s="1"/>
      <c r="Q128" s="1"/>
      <c r="R128" s="1"/>
      <c r="S128" s="25"/>
      <c r="T128" s="18"/>
    </row>
    <row r="129" spans="4:20" ht="17">
      <c r="D129" s="9"/>
      <c r="F129" s="10"/>
      <c r="G129" s="10"/>
      <c r="H129" s="10"/>
      <c r="I129" s="10"/>
      <c r="J129" s="10"/>
      <c r="M129" s="1"/>
      <c r="N129" s="1"/>
      <c r="Q129" s="1"/>
      <c r="R129" s="1"/>
      <c r="S129" s="25"/>
      <c r="T129" s="18"/>
    </row>
    <row r="130" spans="4:20" ht="17">
      <c r="D130" s="9"/>
      <c r="F130" s="10"/>
      <c r="G130" s="10"/>
      <c r="H130" s="10"/>
      <c r="I130" s="10"/>
      <c r="J130" s="10"/>
      <c r="M130" s="1"/>
      <c r="N130" s="1"/>
      <c r="Q130" s="1"/>
      <c r="R130" s="1"/>
      <c r="S130" s="25"/>
      <c r="T130" s="18"/>
    </row>
    <row r="131" spans="4:20" ht="17">
      <c r="D131" s="9"/>
      <c r="F131" s="10"/>
      <c r="G131" s="10"/>
      <c r="H131" s="10"/>
      <c r="I131" s="10"/>
      <c r="J131" s="10"/>
      <c r="M131" s="1"/>
      <c r="N131" s="1"/>
      <c r="Q131" s="1"/>
      <c r="R131" s="1"/>
      <c r="S131" s="25"/>
      <c r="T131" s="18"/>
    </row>
    <row r="132" spans="4:20" ht="17">
      <c r="D132" s="9"/>
      <c r="F132" s="10"/>
      <c r="G132" s="10"/>
      <c r="H132" s="10"/>
      <c r="I132" s="10"/>
      <c r="J132" s="10"/>
      <c r="M132" s="1"/>
      <c r="N132" s="1"/>
      <c r="Q132" s="1"/>
      <c r="R132" s="1"/>
      <c r="S132" s="25"/>
      <c r="T132" s="18"/>
    </row>
    <row r="133" spans="4:20" ht="17">
      <c r="D133" s="9"/>
      <c r="F133" s="10"/>
      <c r="G133" s="10"/>
      <c r="H133" s="10"/>
      <c r="I133" s="10"/>
      <c r="J133" s="10"/>
      <c r="M133" s="1"/>
      <c r="N133" s="1"/>
      <c r="Q133" s="1"/>
      <c r="R133" s="1"/>
      <c r="S133" s="25"/>
      <c r="T133" s="18"/>
    </row>
    <row r="134" spans="4:20" ht="17">
      <c r="D134" s="9"/>
      <c r="F134" s="10"/>
      <c r="G134" s="10"/>
      <c r="H134" s="10"/>
      <c r="I134" s="10"/>
      <c r="J134" s="10"/>
      <c r="M134" s="1"/>
      <c r="N134" s="1"/>
      <c r="Q134" s="1"/>
      <c r="R134" s="1"/>
      <c r="S134" s="25"/>
      <c r="T134" s="18"/>
    </row>
    <row r="135" spans="4:20" ht="17">
      <c r="D135" s="9"/>
      <c r="F135" s="10"/>
      <c r="G135" s="10"/>
      <c r="H135" s="10"/>
      <c r="I135" s="10"/>
      <c r="J135" s="10"/>
      <c r="M135" s="1"/>
      <c r="N135" s="1"/>
      <c r="Q135" s="1"/>
      <c r="R135" s="1"/>
      <c r="S135" s="25"/>
      <c r="T135" s="18"/>
    </row>
    <row r="136" spans="4:20" ht="17">
      <c r="D136" s="9"/>
      <c r="F136" s="10"/>
      <c r="G136" s="10"/>
      <c r="H136" s="10"/>
      <c r="I136" s="10"/>
      <c r="J136" s="10"/>
      <c r="M136" s="1"/>
      <c r="N136" s="1"/>
      <c r="Q136" s="1"/>
      <c r="R136" s="1"/>
      <c r="S136" s="25"/>
      <c r="T136" s="18"/>
    </row>
    <row r="137" spans="4:20" ht="17">
      <c r="D137" s="9"/>
      <c r="F137" s="10"/>
      <c r="G137" s="10"/>
      <c r="H137" s="10"/>
      <c r="I137" s="10"/>
      <c r="J137" s="10"/>
      <c r="M137" s="1"/>
      <c r="N137" s="1"/>
      <c r="Q137" s="1"/>
      <c r="R137" s="1"/>
      <c r="S137" s="25"/>
      <c r="T137" s="18"/>
    </row>
    <row r="138" spans="4:20" ht="17">
      <c r="D138" s="9"/>
      <c r="F138" s="10"/>
      <c r="G138" s="10"/>
      <c r="H138" s="10"/>
      <c r="I138" s="10"/>
      <c r="J138" s="10"/>
      <c r="M138" s="1"/>
      <c r="N138" s="1"/>
      <c r="Q138" s="1"/>
      <c r="R138" s="1"/>
      <c r="S138" s="25"/>
      <c r="T138" s="18"/>
    </row>
    <row r="139" spans="4:20" ht="17">
      <c r="D139" s="9"/>
      <c r="F139" s="10"/>
      <c r="G139" s="10"/>
      <c r="H139" s="10"/>
      <c r="I139" s="10"/>
      <c r="J139" s="10"/>
      <c r="M139" s="1"/>
      <c r="N139" s="1"/>
      <c r="Q139" s="1"/>
      <c r="R139" s="1"/>
      <c r="S139" s="25"/>
      <c r="T139" s="18"/>
    </row>
    <row r="140" spans="4:20" ht="17">
      <c r="D140" s="9"/>
      <c r="F140" s="10"/>
      <c r="G140" s="10"/>
      <c r="H140" s="10"/>
      <c r="I140" s="10"/>
      <c r="J140" s="10"/>
      <c r="M140" s="1"/>
      <c r="N140" s="1"/>
      <c r="Q140" s="1"/>
      <c r="R140" s="1"/>
      <c r="S140" s="25"/>
      <c r="T140" s="18"/>
    </row>
    <row r="141" spans="4:20" ht="17">
      <c r="D141" s="9"/>
      <c r="F141" s="10"/>
      <c r="G141" s="10"/>
      <c r="H141" s="10"/>
      <c r="I141" s="10"/>
      <c r="J141" s="10"/>
      <c r="M141" s="1"/>
      <c r="N141" s="1"/>
      <c r="Q141" s="1"/>
      <c r="R141" s="1"/>
      <c r="S141" s="25"/>
      <c r="T141" s="18"/>
    </row>
    <row r="142" spans="4:20" ht="17">
      <c r="D142" s="9"/>
      <c r="F142" s="10"/>
      <c r="G142" s="10"/>
      <c r="H142" s="10"/>
      <c r="I142" s="10"/>
      <c r="J142" s="10"/>
      <c r="M142" s="1"/>
      <c r="N142" s="1"/>
      <c r="Q142" s="1"/>
      <c r="R142" s="1"/>
      <c r="S142" s="25"/>
      <c r="T142" s="18"/>
    </row>
    <row r="143" spans="4:20" ht="17">
      <c r="D143" s="9"/>
      <c r="F143" s="10"/>
      <c r="G143" s="10"/>
      <c r="H143" s="10"/>
      <c r="I143" s="10"/>
      <c r="J143" s="10"/>
      <c r="M143" s="1"/>
      <c r="N143" s="1"/>
      <c r="Q143" s="1"/>
      <c r="R143" s="1"/>
      <c r="S143" s="25"/>
      <c r="T143" s="18"/>
    </row>
    <row r="144" spans="4:20" ht="17">
      <c r="D144" s="9"/>
      <c r="F144" s="10"/>
      <c r="G144" s="10"/>
      <c r="H144" s="10"/>
      <c r="I144" s="10"/>
      <c r="J144" s="10"/>
      <c r="M144" s="1"/>
      <c r="N144" s="1"/>
      <c r="Q144" s="1"/>
      <c r="R144" s="1"/>
      <c r="S144" s="25"/>
      <c r="T144" s="18"/>
    </row>
    <row r="145" spans="4:20" ht="17">
      <c r="D145" s="9"/>
      <c r="F145" s="10"/>
      <c r="G145" s="10"/>
      <c r="H145" s="10"/>
      <c r="I145" s="10"/>
      <c r="J145" s="10"/>
      <c r="M145" s="1"/>
      <c r="N145" s="1"/>
      <c r="Q145" s="1"/>
      <c r="R145" s="1"/>
      <c r="S145" s="25"/>
      <c r="T145" s="18"/>
    </row>
    <row r="146" spans="4:20" ht="17">
      <c r="D146" s="9"/>
      <c r="F146" s="10"/>
      <c r="G146" s="10"/>
      <c r="H146" s="10"/>
      <c r="I146" s="10"/>
      <c r="J146" s="10"/>
      <c r="M146" s="1"/>
      <c r="N146" s="1"/>
      <c r="Q146" s="1"/>
      <c r="R146" s="1"/>
      <c r="S146" s="25"/>
      <c r="T146" s="18"/>
    </row>
    <row r="147" spans="4:20" ht="17">
      <c r="D147" s="9"/>
      <c r="F147" s="10"/>
      <c r="G147" s="10"/>
      <c r="H147" s="10"/>
      <c r="I147" s="10"/>
      <c r="J147" s="10"/>
      <c r="M147" s="1"/>
      <c r="N147" s="1"/>
      <c r="Q147" s="1"/>
      <c r="R147" s="1"/>
      <c r="S147" s="25"/>
      <c r="T147" s="18"/>
    </row>
    <row r="148" spans="4:20" ht="17">
      <c r="D148" s="9"/>
      <c r="F148" s="10"/>
      <c r="G148" s="10"/>
      <c r="H148" s="10"/>
      <c r="I148" s="10"/>
      <c r="J148" s="10"/>
      <c r="M148" s="1"/>
      <c r="N148" s="1"/>
      <c r="Q148" s="1"/>
      <c r="R148" s="1"/>
      <c r="S148" s="25"/>
      <c r="T148" s="18"/>
    </row>
    <row r="149" spans="4:20" ht="17">
      <c r="D149" s="9"/>
      <c r="F149" s="10"/>
      <c r="G149" s="10"/>
      <c r="H149" s="10"/>
      <c r="I149" s="10"/>
      <c r="J149" s="10"/>
      <c r="M149" s="1"/>
      <c r="Q149" s="1"/>
      <c r="R149" s="1"/>
      <c r="S149" s="25"/>
      <c r="T149" s="18"/>
    </row>
    <row r="150" spans="4:20" ht="17">
      <c r="D150" s="9"/>
      <c r="F150" s="10"/>
      <c r="G150" s="10"/>
      <c r="H150" s="10"/>
      <c r="I150" s="10"/>
      <c r="J150" s="10"/>
      <c r="M150" s="1"/>
      <c r="Q150" s="1"/>
      <c r="R150" s="1"/>
      <c r="S150" s="25"/>
      <c r="T150" s="18"/>
    </row>
    <row r="151" spans="4:20" ht="17">
      <c r="D151" s="9"/>
      <c r="F151" s="10"/>
      <c r="G151" s="10"/>
      <c r="H151" s="10"/>
      <c r="I151" s="10"/>
      <c r="J151" s="10"/>
      <c r="M151" s="1"/>
      <c r="Q151" s="1"/>
      <c r="R151" s="1"/>
      <c r="S151" s="25"/>
      <c r="T151" s="18"/>
    </row>
    <row r="152" spans="4:20" ht="17">
      <c r="D152" s="9"/>
      <c r="F152" s="10"/>
      <c r="G152" s="10"/>
      <c r="H152" s="10"/>
      <c r="I152" s="10"/>
      <c r="J152" s="10"/>
      <c r="M152" s="1"/>
      <c r="Q152" s="1"/>
      <c r="R152" s="1"/>
      <c r="S152" s="25"/>
      <c r="T152" s="18"/>
    </row>
    <row r="153" spans="4:20" ht="17">
      <c r="D153" s="9"/>
      <c r="F153" s="10"/>
      <c r="G153" s="10"/>
      <c r="H153" s="10"/>
      <c r="I153" s="10"/>
      <c r="J153" s="10"/>
      <c r="M153" s="1"/>
      <c r="Q153" s="1"/>
      <c r="R153" s="1"/>
      <c r="S153" s="25"/>
      <c r="T153" s="18"/>
    </row>
    <row r="154" spans="4:20" ht="17">
      <c r="D154" s="9"/>
      <c r="F154" s="10"/>
      <c r="G154" s="10"/>
      <c r="H154" s="10"/>
      <c r="I154" s="10"/>
      <c r="J154" s="10"/>
      <c r="M154" s="1"/>
      <c r="Q154" s="1"/>
      <c r="R154" s="1"/>
      <c r="S154" s="25"/>
      <c r="T154" s="18"/>
    </row>
    <row r="155" spans="4:20" ht="17">
      <c r="D155" s="9"/>
      <c r="F155" s="10"/>
      <c r="G155" s="10"/>
      <c r="H155" s="10"/>
      <c r="I155" s="10"/>
      <c r="J155" s="10"/>
      <c r="M155" s="1"/>
      <c r="Q155" s="1"/>
      <c r="R155" s="1"/>
      <c r="S155" s="25"/>
      <c r="T155" s="18"/>
    </row>
    <row r="156" spans="4:20" ht="17">
      <c r="D156" s="9"/>
      <c r="F156" s="10"/>
      <c r="G156" s="10"/>
      <c r="H156" s="10"/>
      <c r="I156" s="10"/>
      <c r="J156" s="10"/>
      <c r="M156" s="1"/>
      <c r="Q156" s="1"/>
      <c r="R156" s="1"/>
      <c r="S156" s="25"/>
      <c r="T156" s="18"/>
    </row>
    <row r="157" spans="4:20" ht="17">
      <c r="D157" s="9"/>
      <c r="F157" s="10"/>
      <c r="G157" s="10"/>
      <c r="H157" s="10"/>
      <c r="I157" s="10"/>
      <c r="J157" s="10"/>
      <c r="M157" s="1"/>
      <c r="Q157" s="1"/>
      <c r="R157" s="1"/>
      <c r="S157" s="25"/>
      <c r="T157" s="18"/>
    </row>
    <row r="158" spans="4:20" ht="17">
      <c r="D158" s="9"/>
      <c r="F158" s="10"/>
      <c r="G158" s="10"/>
      <c r="H158" s="10"/>
      <c r="I158" s="10"/>
      <c r="J158" s="10"/>
      <c r="M158" s="1"/>
      <c r="Q158" s="1"/>
      <c r="R158" s="1"/>
      <c r="S158" s="25"/>
      <c r="T158" s="18"/>
    </row>
    <row r="159" spans="4:20" ht="17">
      <c r="D159" s="9"/>
      <c r="F159" s="10"/>
      <c r="G159" s="10"/>
      <c r="H159" s="10"/>
      <c r="I159" s="10"/>
      <c r="J159" s="10"/>
      <c r="M159" s="1"/>
      <c r="Q159" s="1"/>
      <c r="R159" s="1"/>
      <c r="S159" s="25"/>
      <c r="T159" s="18"/>
    </row>
    <row r="160" spans="4:20" ht="17">
      <c r="D160" s="9"/>
      <c r="F160" s="10"/>
      <c r="G160" s="10"/>
      <c r="H160" s="10"/>
      <c r="I160" s="10"/>
      <c r="J160" s="10"/>
      <c r="M160" s="1"/>
      <c r="Q160" s="1"/>
      <c r="R160" s="1"/>
      <c r="S160" s="25"/>
      <c r="T160" s="18"/>
    </row>
    <row r="161" spans="4:20" ht="17">
      <c r="D161" s="9"/>
      <c r="F161" s="10"/>
      <c r="G161" s="10"/>
      <c r="H161" s="10"/>
      <c r="I161" s="10"/>
      <c r="J161" s="10"/>
      <c r="M161" s="1"/>
      <c r="Q161" s="1"/>
      <c r="R161" s="1"/>
      <c r="S161" s="25"/>
      <c r="T161" s="18"/>
    </row>
    <row r="162" spans="4:20" ht="17">
      <c r="D162" s="9"/>
      <c r="F162" s="10"/>
      <c r="G162" s="10"/>
      <c r="H162" s="10"/>
      <c r="I162" s="10"/>
      <c r="J162" s="10"/>
      <c r="M162" s="1"/>
      <c r="Q162" s="1"/>
      <c r="R162" s="1"/>
      <c r="S162" s="25"/>
      <c r="T162" s="18"/>
    </row>
    <row r="163" spans="4:20" ht="17">
      <c r="D163" s="9"/>
      <c r="F163" s="10"/>
      <c r="G163" s="10"/>
      <c r="H163" s="10"/>
      <c r="I163" s="10"/>
      <c r="J163" s="10"/>
      <c r="M163" s="1"/>
      <c r="Q163" s="1"/>
      <c r="R163" s="1"/>
      <c r="S163" s="25"/>
      <c r="T163" s="18"/>
    </row>
    <row r="164" spans="4:20" ht="17">
      <c r="D164" s="9"/>
      <c r="F164" s="10"/>
      <c r="G164" s="10"/>
      <c r="H164" s="10"/>
      <c r="I164" s="10"/>
      <c r="J164" s="10"/>
      <c r="M164" s="1"/>
      <c r="Q164" s="1"/>
      <c r="R164" s="1"/>
      <c r="S164" s="25"/>
      <c r="T164" s="18"/>
    </row>
    <row r="165" spans="4:20" ht="17">
      <c r="D165" s="9"/>
      <c r="F165" s="10"/>
      <c r="G165" s="10"/>
      <c r="H165" s="10"/>
      <c r="I165" s="10"/>
      <c r="J165" s="10"/>
      <c r="M165" s="1"/>
      <c r="Q165" s="1"/>
      <c r="R165" s="1"/>
      <c r="S165" s="25"/>
      <c r="T165" s="18"/>
    </row>
    <row r="166" spans="4:20" ht="17">
      <c r="D166" s="9"/>
      <c r="F166" s="10"/>
      <c r="G166" s="10"/>
      <c r="H166" s="10"/>
      <c r="I166" s="10"/>
      <c r="J166" s="10"/>
      <c r="M166" s="1"/>
      <c r="Q166" s="1"/>
      <c r="R166" s="1"/>
      <c r="S166" s="25"/>
      <c r="T166" s="18"/>
    </row>
    <row r="167" spans="4:20" ht="17">
      <c r="D167" s="9"/>
      <c r="F167" s="10"/>
      <c r="G167" s="10"/>
      <c r="H167" s="10"/>
      <c r="I167" s="10"/>
      <c r="J167" s="10"/>
      <c r="M167" s="1"/>
      <c r="Q167" s="1"/>
      <c r="R167" s="1"/>
      <c r="S167" s="25"/>
      <c r="T167" s="18"/>
    </row>
    <row r="168" spans="4:20" ht="17">
      <c r="D168" s="9"/>
      <c r="F168" s="10"/>
      <c r="G168" s="10"/>
      <c r="H168" s="10"/>
      <c r="I168" s="10"/>
      <c r="J168" s="10"/>
      <c r="M168" s="1"/>
      <c r="Q168" s="1"/>
      <c r="R168" s="1"/>
      <c r="S168" s="25"/>
      <c r="T168" s="18"/>
    </row>
    <row r="169" spans="4:20" ht="17">
      <c r="D169" s="9"/>
      <c r="F169" s="10"/>
      <c r="G169" s="10"/>
      <c r="H169" s="10"/>
      <c r="I169" s="10"/>
      <c r="J169" s="10"/>
      <c r="M169" s="1"/>
      <c r="Q169" s="1"/>
      <c r="R169" s="1"/>
      <c r="S169" s="25"/>
      <c r="T169" s="18"/>
    </row>
    <row r="170" spans="4:20" ht="17">
      <c r="D170" s="9"/>
      <c r="F170" s="10"/>
      <c r="G170" s="10"/>
      <c r="H170" s="10"/>
      <c r="I170" s="10"/>
      <c r="J170" s="10"/>
      <c r="M170" s="1"/>
      <c r="Q170" s="1"/>
      <c r="R170" s="1"/>
      <c r="S170" s="25"/>
      <c r="T170" s="18"/>
    </row>
    <row r="171" spans="4:20" ht="17">
      <c r="D171" s="9"/>
      <c r="F171" s="10"/>
      <c r="G171" s="10"/>
      <c r="H171" s="10"/>
      <c r="I171" s="10"/>
      <c r="J171" s="10"/>
      <c r="M171" s="1"/>
      <c r="Q171" s="1"/>
      <c r="R171" s="1"/>
      <c r="S171" s="25"/>
      <c r="T171" s="18"/>
    </row>
    <row r="172" spans="4:20" ht="17">
      <c r="D172" s="9"/>
      <c r="F172" s="10"/>
      <c r="G172" s="10"/>
      <c r="H172" s="10"/>
      <c r="I172" s="10"/>
      <c r="J172" s="10"/>
      <c r="M172" s="1"/>
      <c r="Q172" s="1"/>
      <c r="R172" s="1"/>
      <c r="S172" s="25"/>
      <c r="T172" s="18"/>
    </row>
    <row r="173" spans="4:20" ht="17">
      <c r="D173" s="9"/>
      <c r="F173" s="10"/>
      <c r="G173" s="10"/>
      <c r="H173" s="10"/>
      <c r="I173" s="10"/>
      <c r="J173" s="10"/>
      <c r="M173" s="1"/>
      <c r="Q173" s="1"/>
      <c r="R173" s="1"/>
      <c r="S173" s="25"/>
      <c r="T173" s="18"/>
    </row>
    <row r="174" spans="4:20" ht="17">
      <c r="D174" s="9"/>
      <c r="F174" s="10"/>
      <c r="G174" s="10"/>
      <c r="H174" s="10"/>
      <c r="I174" s="10"/>
      <c r="J174" s="10"/>
      <c r="M174" s="1"/>
      <c r="Q174" s="1"/>
      <c r="R174" s="1"/>
      <c r="S174" s="25"/>
      <c r="T174" s="18"/>
    </row>
    <row r="175" spans="4:20" ht="17">
      <c r="D175" s="9"/>
      <c r="F175" s="10"/>
      <c r="G175" s="10"/>
      <c r="H175" s="10"/>
      <c r="I175" s="10"/>
      <c r="J175" s="10"/>
      <c r="M175" s="1"/>
      <c r="Q175" s="1"/>
      <c r="R175" s="1"/>
      <c r="S175" s="25"/>
      <c r="T175" s="18"/>
    </row>
    <row r="176" spans="4:20" ht="17">
      <c r="D176" s="9"/>
      <c r="F176" s="10"/>
      <c r="G176" s="10"/>
      <c r="H176" s="10"/>
      <c r="I176" s="10"/>
      <c r="J176" s="10"/>
      <c r="M176" s="1"/>
      <c r="Q176" s="1"/>
      <c r="R176" s="1"/>
      <c r="S176" s="25"/>
      <c r="T176" s="18"/>
    </row>
    <row r="177" spans="4:20" ht="17">
      <c r="D177" s="9"/>
      <c r="F177" s="10"/>
      <c r="G177" s="10"/>
      <c r="H177" s="10"/>
      <c r="I177" s="10"/>
      <c r="J177" s="10"/>
      <c r="M177" s="1"/>
      <c r="Q177" s="1"/>
      <c r="R177" s="1"/>
      <c r="S177" s="25"/>
      <c r="T177" s="18"/>
    </row>
    <row r="178" spans="4:20" ht="17">
      <c r="D178" s="9"/>
      <c r="F178" s="10"/>
      <c r="G178" s="10"/>
      <c r="H178" s="10"/>
      <c r="I178" s="10"/>
      <c r="J178" s="10"/>
      <c r="M178" s="1"/>
      <c r="Q178" s="1"/>
      <c r="R178" s="1"/>
      <c r="S178" s="25"/>
      <c r="T178" s="18"/>
    </row>
    <row r="179" spans="4:20" ht="17">
      <c r="D179" s="9"/>
      <c r="F179" s="10"/>
      <c r="G179" s="10"/>
      <c r="H179" s="10"/>
      <c r="I179" s="10"/>
      <c r="J179" s="10"/>
      <c r="M179" s="1"/>
      <c r="Q179" s="1"/>
      <c r="R179" s="1"/>
      <c r="S179" s="25"/>
      <c r="T179" s="18"/>
    </row>
    <row r="180" spans="4:20" ht="17">
      <c r="D180" s="9"/>
      <c r="F180" s="10"/>
      <c r="G180" s="10"/>
      <c r="H180" s="10"/>
      <c r="I180" s="10"/>
      <c r="J180" s="10"/>
      <c r="M180" s="1"/>
      <c r="Q180" s="1"/>
      <c r="R180" s="1"/>
      <c r="S180" s="25"/>
      <c r="T180" s="18"/>
    </row>
    <row r="181" spans="4:20" ht="17">
      <c r="D181" s="9"/>
      <c r="F181" s="10"/>
      <c r="G181" s="10"/>
      <c r="H181" s="10"/>
      <c r="I181" s="10"/>
      <c r="J181" s="10"/>
      <c r="M181" s="1"/>
      <c r="Q181" s="1"/>
      <c r="R181" s="1"/>
      <c r="S181" s="25"/>
      <c r="T181" s="18"/>
    </row>
    <row r="182" spans="4:20" ht="17">
      <c r="D182" s="9"/>
      <c r="F182" s="10"/>
      <c r="G182" s="10"/>
      <c r="H182" s="10"/>
      <c r="I182" s="10"/>
      <c r="J182" s="10"/>
      <c r="M182" s="1"/>
      <c r="Q182" s="1"/>
      <c r="R182" s="1"/>
      <c r="S182" s="25"/>
      <c r="T182" s="18"/>
    </row>
    <row r="183" spans="4:20" ht="17">
      <c r="D183" s="9"/>
      <c r="F183" s="10"/>
      <c r="G183" s="10"/>
      <c r="H183" s="10"/>
      <c r="I183" s="10"/>
      <c r="J183" s="10"/>
      <c r="M183" s="1"/>
      <c r="Q183" s="1"/>
      <c r="R183" s="1"/>
      <c r="S183" s="25"/>
      <c r="T183" s="18"/>
    </row>
    <row r="184" spans="4:20" ht="17">
      <c r="D184" s="9"/>
      <c r="F184" s="10"/>
      <c r="G184" s="10"/>
      <c r="H184" s="10"/>
      <c r="I184" s="10"/>
      <c r="J184" s="10"/>
      <c r="M184" s="1"/>
      <c r="Q184" s="1"/>
      <c r="R184" s="1"/>
      <c r="S184" s="25"/>
      <c r="T184" s="18"/>
    </row>
    <row r="185" spans="4:20" ht="17">
      <c r="D185" s="9"/>
      <c r="F185" s="10"/>
      <c r="G185" s="10"/>
      <c r="H185" s="10"/>
      <c r="I185" s="10"/>
      <c r="J185" s="10"/>
      <c r="M185" s="1"/>
      <c r="Q185" s="1"/>
      <c r="R185" s="1"/>
      <c r="S185" s="25"/>
      <c r="T185" s="18"/>
    </row>
    <row r="186" spans="4:20" ht="17">
      <c r="D186" s="9"/>
      <c r="F186" s="10"/>
      <c r="G186" s="10"/>
      <c r="H186" s="10"/>
      <c r="I186" s="10"/>
      <c r="J186" s="10"/>
      <c r="M186" s="1"/>
      <c r="Q186" s="1"/>
      <c r="R186" s="1"/>
      <c r="S186" s="25"/>
      <c r="T186" s="18"/>
    </row>
    <row r="187" spans="4:20" ht="17">
      <c r="D187" s="9"/>
      <c r="F187" s="10"/>
      <c r="G187" s="10"/>
      <c r="H187" s="10"/>
      <c r="I187" s="10"/>
      <c r="J187" s="10"/>
      <c r="M187" s="1"/>
      <c r="Q187" s="1"/>
      <c r="R187" s="1"/>
      <c r="S187" s="25"/>
      <c r="T187" s="18"/>
    </row>
    <row r="188" spans="4:20" ht="17">
      <c r="D188" s="9"/>
      <c r="F188" s="10"/>
      <c r="G188" s="10"/>
      <c r="H188" s="10"/>
      <c r="I188" s="10"/>
      <c r="J188" s="10"/>
      <c r="M188" s="1"/>
      <c r="Q188" s="1"/>
      <c r="R188" s="1"/>
      <c r="S188" s="25"/>
      <c r="T188" s="18"/>
    </row>
    <row r="189" spans="4:20" ht="17">
      <c r="D189" s="9"/>
      <c r="F189" s="10"/>
      <c r="G189" s="10"/>
      <c r="H189" s="10"/>
      <c r="I189" s="10"/>
      <c r="J189" s="10"/>
      <c r="Q189" s="1"/>
      <c r="R189" s="1"/>
      <c r="S189" s="25"/>
      <c r="T189" s="18"/>
    </row>
    <row r="190" spans="4:20" ht="17">
      <c r="D190" s="9"/>
      <c r="F190" s="10"/>
      <c r="G190" s="10"/>
      <c r="H190" s="10"/>
      <c r="I190" s="10"/>
      <c r="J190" s="10"/>
      <c r="Q190" s="1"/>
      <c r="R190" s="1"/>
      <c r="S190" s="25"/>
      <c r="T190" s="18"/>
    </row>
    <row r="191" spans="4:20" ht="17">
      <c r="D191" s="9"/>
      <c r="F191" s="10"/>
      <c r="G191" s="10"/>
      <c r="H191" s="10"/>
      <c r="I191" s="10"/>
      <c r="J191" s="10"/>
      <c r="Q191" s="1"/>
      <c r="R191" s="1"/>
      <c r="S191" s="25"/>
      <c r="T191" s="18"/>
    </row>
    <row r="192" spans="4:20" ht="17">
      <c r="D192" s="9"/>
      <c r="F192" s="10"/>
      <c r="G192" s="10"/>
      <c r="H192" s="10"/>
      <c r="I192" s="10"/>
      <c r="J192" s="10"/>
      <c r="Q192" s="1"/>
      <c r="R192" s="1"/>
      <c r="S192" s="25"/>
      <c r="T192" s="18"/>
    </row>
    <row r="193" spans="4:20" ht="17">
      <c r="D193" s="9"/>
      <c r="F193" s="10"/>
      <c r="G193" s="10"/>
      <c r="H193" s="10"/>
      <c r="I193" s="10"/>
      <c r="J193" s="10"/>
      <c r="Q193" s="1"/>
      <c r="R193" s="1"/>
      <c r="S193" s="25"/>
      <c r="T193" s="18"/>
    </row>
    <row r="194" spans="4:20">
      <c r="D194" s="9"/>
      <c r="F194" s="10"/>
      <c r="G194" s="10"/>
      <c r="H194" s="10"/>
      <c r="I194" s="10"/>
      <c r="J194" s="10"/>
      <c r="S194" s="26"/>
    </row>
    <row r="195" spans="4:20">
      <c r="D195" s="9"/>
      <c r="F195" s="10"/>
      <c r="G195" s="10"/>
      <c r="H195" s="10"/>
      <c r="I195" s="10"/>
      <c r="J195" s="10"/>
      <c r="S195" s="26"/>
    </row>
    <row r="196" spans="4:20">
      <c r="D196" s="9"/>
      <c r="F196" s="10"/>
      <c r="G196" s="10"/>
      <c r="H196" s="10"/>
      <c r="I196" s="10"/>
      <c r="J196" s="10"/>
      <c r="S196" s="26"/>
    </row>
    <row r="197" spans="4:20">
      <c r="D197" s="9"/>
      <c r="F197" s="10"/>
      <c r="G197" s="10"/>
      <c r="H197" s="10"/>
      <c r="I197" s="10"/>
      <c r="J197" s="10"/>
      <c r="S197" s="26"/>
    </row>
    <row r="198" spans="4:20">
      <c r="D198" s="9"/>
      <c r="F198" s="10"/>
      <c r="G198" s="10"/>
      <c r="H198" s="10"/>
      <c r="I198" s="10"/>
      <c r="J198" s="10"/>
      <c r="S198" s="26"/>
    </row>
    <row r="199" spans="4:20">
      <c r="D199" s="9"/>
      <c r="F199" s="10"/>
      <c r="G199" s="10"/>
      <c r="H199" s="10"/>
      <c r="I199" s="10"/>
      <c r="J199" s="10"/>
      <c r="S199" s="26"/>
    </row>
    <row r="200" spans="4:20">
      <c r="D200" s="9"/>
      <c r="F200" s="10"/>
      <c r="G200" s="10"/>
      <c r="H200" s="10"/>
      <c r="I200" s="10"/>
      <c r="J200" s="10"/>
      <c r="S200" s="26"/>
    </row>
    <row r="201" spans="4:20">
      <c r="D201" s="9"/>
      <c r="F201" s="10"/>
      <c r="G201" s="10"/>
      <c r="H201" s="10"/>
      <c r="I201" s="10"/>
      <c r="J201" s="10"/>
      <c r="S201" s="26"/>
    </row>
    <row r="202" spans="4:20">
      <c r="D202" s="9"/>
      <c r="F202" s="10"/>
      <c r="G202" s="10"/>
      <c r="H202" s="10"/>
      <c r="I202" s="10"/>
      <c r="J202" s="10"/>
      <c r="S202" s="26"/>
    </row>
    <row r="203" spans="4:20">
      <c r="D203" s="9"/>
      <c r="F203" s="10"/>
      <c r="G203" s="10"/>
      <c r="H203" s="10"/>
      <c r="I203" s="10"/>
      <c r="J203" s="10"/>
      <c r="S203" s="26"/>
    </row>
    <row r="204" spans="4:20">
      <c r="D204" s="9"/>
      <c r="F204" s="10"/>
      <c r="G204" s="10"/>
      <c r="H204" s="10"/>
      <c r="I204" s="10"/>
      <c r="J204" s="10"/>
      <c r="S204" s="26"/>
    </row>
    <row r="205" spans="4:20">
      <c r="D205" s="9"/>
      <c r="F205" s="10"/>
      <c r="G205" s="10"/>
      <c r="H205" s="10"/>
      <c r="I205" s="10"/>
      <c r="J205" s="10"/>
      <c r="S205" s="26"/>
    </row>
    <row r="206" spans="4:20">
      <c r="D206" s="9"/>
      <c r="F206" s="10"/>
      <c r="G206" s="10"/>
      <c r="H206" s="10"/>
      <c r="I206" s="10"/>
      <c r="J206" s="10"/>
      <c r="S206" s="26"/>
    </row>
    <row r="207" spans="4:20">
      <c r="D207" s="9"/>
      <c r="F207" s="10"/>
      <c r="G207" s="10"/>
      <c r="H207" s="10"/>
      <c r="I207" s="10"/>
      <c r="J207" s="10"/>
      <c r="S207" s="26"/>
    </row>
    <row r="208" spans="4:20">
      <c r="D208" s="9"/>
      <c r="F208" s="10"/>
      <c r="G208" s="10"/>
      <c r="H208" s="10"/>
      <c r="I208" s="10"/>
      <c r="J208" s="10"/>
      <c r="S208" s="26"/>
    </row>
    <row r="209" spans="4:19">
      <c r="D209" s="9"/>
      <c r="F209" s="10"/>
      <c r="G209" s="10"/>
      <c r="H209" s="10"/>
      <c r="I209" s="10"/>
      <c r="J209" s="10"/>
      <c r="S209" s="26"/>
    </row>
    <row r="210" spans="4:19">
      <c r="D210" s="9"/>
      <c r="F210" s="10"/>
      <c r="G210" s="10"/>
      <c r="H210" s="10"/>
      <c r="I210" s="10"/>
      <c r="J210" s="10"/>
      <c r="S210" s="26"/>
    </row>
    <row r="211" spans="4:19">
      <c r="D211" s="9"/>
      <c r="F211" s="10"/>
      <c r="G211" s="10"/>
      <c r="H211" s="10"/>
      <c r="I211" s="10"/>
      <c r="J211" s="10"/>
      <c r="S211" s="26"/>
    </row>
    <row r="212" spans="4:19">
      <c r="D212" s="9"/>
      <c r="F212" s="10"/>
      <c r="G212" s="10"/>
      <c r="H212" s="10"/>
      <c r="I212" s="10"/>
      <c r="J212" s="10"/>
      <c r="S212" s="26"/>
    </row>
    <row r="213" spans="4:19">
      <c r="D213" s="9"/>
      <c r="F213" s="10"/>
      <c r="G213" s="10"/>
      <c r="H213" s="10"/>
      <c r="I213" s="10"/>
      <c r="J213" s="10"/>
      <c r="S213" s="26"/>
    </row>
    <row r="214" spans="4:19">
      <c r="D214" s="9"/>
      <c r="F214" s="10"/>
      <c r="G214" s="10"/>
      <c r="H214" s="10"/>
      <c r="I214" s="10"/>
      <c r="J214" s="10"/>
      <c r="S214" s="26"/>
    </row>
    <row r="215" spans="4:19">
      <c r="D215" s="9"/>
      <c r="F215" s="10"/>
      <c r="G215" s="10"/>
      <c r="H215" s="10"/>
      <c r="I215" s="10"/>
      <c r="J215" s="10"/>
      <c r="S215" s="26"/>
    </row>
    <row r="216" spans="4:19">
      <c r="D216" s="9"/>
      <c r="F216" s="10"/>
      <c r="G216" s="10"/>
      <c r="H216" s="10"/>
      <c r="I216" s="10"/>
      <c r="J216" s="10"/>
      <c r="S216" s="26"/>
    </row>
    <row r="217" spans="4:19">
      <c r="D217" s="9"/>
      <c r="F217" s="10"/>
      <c r="G217" s="10"/>
      <c r="H217" s="10"/>
      <c r="I217" s="10"/>
      <c r="J217" s="10"/>
      <c r="S217" s="26"/>
    </row>
    <row r="218" spans="4:19">
      <c r="D218" s="9"/>
      <c r="F218" s="10"/>
      <c r="G218" s="10"/>
      <c r="H218" s="10"/>
      <c r="I218" s="10"/>
      <c r="J218" s="10"/>
      <c r="S218" s="26"/>
    </row>
    <row r="219" spans="4:19">
      <c r="D219" s="9"/>
      <c r="F219" s="10"/>
      <c r="G219" s="10"/>
      <c r="H219" s="10"/>
      <c r="I219" s="10"/>
      <c r="J219" s="10"/>
      <c r="S219" s="26"/>
    </row>
    <row r="220" spans="4:19">
      <c r="D220" s="9"/>
      <c r="F220" s="10"/>
      <c r="G220" s="10"/>
      <c r="H220" s="10"/>
      <c r="I220" s="10"/>
      <c r="J220" s="10"/>
      <c r="S220" s="26"/>
    </row>
    <row r="221" spans="4:19">
      <c r="D221" s="9"/>
      <c r="F221" s="10"/>
      <c r="G221" s="10"/>
      <c r="H221" s="10"/>
      <c r="I221" s="10"/>
      <c r="J221" s="10"/>
      <c r="S221" s="26"/>
    </row>
    <row r="222" spans="4:19">
      <c r="D222" s="9"/>
      <c r="F222" s="10"/>
      <c r="G222" s="10"/>
      <c r="H222" s="10"/>
      <c r="I222" s="10"/>
      <c r="J222" s="10"/>
      <c r="S222" s="26"/>
    </row>
    <row r="223" spans="4:19">
      <c r="D223" s="9"/>
      <c r="F223" s="10"/>
      <c r="G223" s="10"/>
      <c r="H223" s="10"/>
      <c r="I223" s="10"/>
      <c r="J223" s="10"/>
      <c r="S223" s="26"/>
    </row>
    <row r="224" spans="4:19">
      <c r="D224" s="9"/>
      <c r="F224" s="10"/>
      <c r="G224" s="10"/>
      <c r="H224" s="10"/>
      <c r="I224" s="10"/>
      <c r="J224" s="10"/>
      <c r="S224" s="26"/>
    </row>
    <row r="225" spans="4:19">
      <c r="D225" s="9"/>
      <c r="F225" s="10"/>
      <c r="G225" s="10"/>
      <c r="H225" s="10"/>
      <c r="I225" s="10"/>
      <c r="J225" s="10"/>
      <c r="S225" s="26"/>
    </row>
    <row r="226" spans="4:19">
      <c r="D226" s="9"/>
      <c r="F226" s="10"/>
      <c r="G226" s="10"/>
      <c r="H226" s="10"/>
      <c r="I226" s="10"/>
      <c r="J226" s="10"/>
      <c r="S226" s="26"/>
    </row>
    <row r="227" spans="4:19">
      <c r="D227" s="9"/>
      <c r="F227" s="10"/>
      <c r="G227" s="10"/>
      <c r="H227" s="10"/>
      <c r="I227" s="10"/>
      <c r="J227" s="10"/>
      <c r="S227" s="26"/>
    </row>
    <row r="228" spans="4:19">
      <c r="D228" s="9"/>
      <c r="F228" s="10"/>
      <c r="G228" s="10"/>
      <c r="H228" s="10"/>
      <c r="I228" s="10"/>
      <c r="J228" s="10"/>
      <c r="S228" s="26"/>
    </row>
    <row r="229" spans="4:19">
      <c r="D229" s="9"/>
      <c r="F229" s="10"/>
      <c r="G229" s="10"/>
      <c r="H229" s="10"/>
      <c r="I229" s="10"/>
      <c r="J229" s="10"/>
      <c r="S229" s="26"/>
    </row>
    <row r="230" spans="4:19">
      <c r="D230" s="9"/>
      <c r="F230" s="10"/>
      <c r="G230" s="10"/>
      <c r="H230" s="10"/>
      <c r="I230" s="10"/>
      <c r="J230" s="10"/>
      <c r="S230" s="26"/>
    </row>
    <row r="231" spans="4:19">
      <c r="D231" s="9"/>
      <c r="F231" s="10"/>
      <c r="G231" s="10"/>
      <c r="H231" s="10"/>
      <c r="I231" s="10"/>
      <c r="J231" s="10"/>
      <c r="S231" s="26"/>
    </row>
    <row r="232" spans="4:19">
      <c r="D232" s="9"/>
      <c r="F232" s="10"/>
      <c r="G232" s="10"/>
      <c r="H232" s="10"/>
      <c r="I232" s="10"/>
      <c r="J232" s="10"/>
      <c r="S232" s="26"/>
    </row>
    <row r="233" spans="4:19">
      <c r="D233" s="9"/>
      <c r="F233" s="10"/>
      <c r="G233" s="10"/>
      <c r="H233" s="10"/>
      <c r="I233" s="10"/>
      <c r="J233" s="10"/>
      <c r="S233" s="26"/>
    </row>
    <row r="234" spans="4:19">
      <c r="D234" s="9"/>
      <c r="F234" s="10"/>
      <c r="G234" s="10"/>
      <c r="H234" s="10"/>
      <c r="I234" s="10"/>
      <c r="J234" s="10"/>
      <c r="S234" s="26"/>
    </row>
    <row r="235" spans="4:19">
      <c r="D235" s="9"/>
      <c r="F235" s="10"/>
      <c r="G235" s="10"/>
      <c r="H235" s="10"/>
      <c r="I235" s="10"/>
      <c r="J235" s="10"/>
      <c r="S235" s="26"/>
    </row>
    <row r="236" spans="4:19">
      <c r="D236" s="9"/>
      <c r="F236" s="10"/>
      <c r="G236" s="10"/>
      <c r="H236" s="10"/>
      <c r="I236" s="10"/>
      <c r="J236" s="10"/>
      <c r="S236" s="26"/>
    </row>
    <row r="237" spans="4:19">
      <c r="D237" s="9"/>
      <c r="F237" s="10"/>
      <c r="G237" s="10"/>
      <c r="H237" s="10"/>
      <c r="I237" s="10"/>
      <c r="J237" s="10"/>
      <c r="S237" s="26"/>
    </row>
    <row r="238" spans="4:19">
      <c r="D238" s="9"/>
      <c r="F238" s="10"/>
      <c r="G238" s="10"/>
      <c r="H238" s="10"/>
      <c r="I238" s="10"/>
      <c r="J238" s="10"/>
      <c r="S238" s="26"/>
    </row>
    <row r="239" spans="4:19">
      <c r="D239" s="9"/>
      <c r="F239" s="10"/>
      <c r="G239" s="10"/>
      <c r="H239" s="10"/>
      <c r="I239" s="10"/>
      <c r="J239" s="10"/>
      <c r="S239" s="26"/>
    </row>
    <row r="240" spans="4:19">
      <c r="D240" s="9"/>
      <c r="F240" s="10"/>
      <c r="G240" s="10"/>
      <c r="H240" s="10"/>
      <c r="I240" s="10"/>
      <c r="J240" s="10"/>
      <c r="S240" s="26"/>
    </row>
    <row r="241" spans="4:19">
      <c r="D241" s="9"/>
      <c r="F241" s="10"/>
      <c r="G241" s="10"/>
      <c r="H241" s="10"/>
      <c r="I241" s="10"/>
      <c r="J241" s="10"/>
      <c r="S241" s="26"/>
    </row>
    <row r="242" spans="4:19">
      <c r="D242" s="9"/>
      <c r="F242" s="10"/>
      <c r="G242" s="10"/>
      <c r="H242" s="10"/>
      <c r="I242" s="10"/>
      <c r="J242" s="10"/>
      <c r="S242" s="26"/>
    </row>
    <row r="243" spans="4:19">
      <c r="D243" s="9"/>
      <c r="F243" s="10"/>
      <c r="G243" s="10"/>
      <c r="H243" s="10"/>
      <c r="I243" s="10"/>
      <c r="J243" s="10"/>
      <c r="S243" s="26"/>
    </row>
    <row r="244" spans="4:19">
      <c r="D244" s="9"/>
      <c r="F244" s="10"/>
      <c r="G244" s="10"/>
      <c r="H244" s="10"/>
      <c r="I244" s="10"/>
      <c r="J244" s="10"/>
      <c r="S244" s="26"/>
    </row>
    <row r="245" spans="4:19">
      <c r="D245" s="9"/>
      <c r="F245" s="10"/>
      <c r="G245" s="10"/>
      <c r="H245" s="10"/>
      <c r="I245" s="10"/>
      <c r="J245" s="10"/>
      <c r="S245" s="26"/>
    </row>
    <row r="246" spans="4:19">
      <c r="D246" s="9"/>
      <c r="F246" s="10"/>
      <c r="G246" s="10"/>
      <c r="H246" s="10"/>
      <c r="I246" s="10"/>
      <c r="J246" s="10"/>
      <c r="S246" s="26"/>
    </row>
    <row r="247" spans="4:19">
      <c r="D247" s="9"/>
      <c r="F247" s="10"/>
      <c r="G247" s="10"/>
      <c r="H247" s="10"/>
      <c r="I247" s="10"/>
      <c r="J247" s="10"/>
      <c r="S247" s="26"/>
    </row>
    <row r="248" spans="4:19">
      <c r="D248" s="9"/>
      <c r="F248" s="10"/>
      <c r="G248" s="10"/>
      <c r="H248" s="10"/>
      <c r="I248" s="10"/>
      <c r="J248" s="10"/>
      <c r="S248" s="26"/>
    </row>
    <row r="249" spans="4:19">
      <c r="D249" s="9"/>
      <c r="F249" s="10"/>
      <c r="G249" s="10"/>
      <c r="H249" s="10"/>
      <c r="I249" s="10"/>
      <c r="J249" s="10"/>
      <c r="S249" s="26"/>
    </row>
    <row r="250" spans="4:19">
      <c r="D250" s="9"/>
      <c r="F250" s="10"/>
      <c r="G250" s="10"/>
      <c r="H250" s="10"/>
      <c r="I250" s="10"/>
      <c r="J250" s="10"/>
      <c r="S250" s="26"/>
    </row>
    <row r="251" spans="4:19">
      <c r="D251" s="9"/>
      <c r="F251" s="10"/>
      <c r="G251" s="10"/>
      <c r="H251" s="10"/>
      <c r="I251" s="10"/>
      <c r="J251" s="10"/>
      <c r="S251" s="26"/>
    </row>
    <row r="252" spans="4:19">
      <c r="D252" s="9"/>
      <c r="F252" s="10"/>
      <c r="G252" s="10"/>
      <c r="H252" s="10"/>
      <c r="I252" s="10"/>
      <c r="J252" s="10"/>
      <c r="S252" s="26"/>
    </row>
    <row r="253" spans="4:19">
      <c r="D253" s="9"/>
      <c r="F253" s="10"/>
      <c r="G253" s="10"/>
      <c r="H253" s="10"/>
      <c r="I253" s="10"/>
      <c r="J253" s="10"/>
      <c r="S253" s="26"/>
    </row>
    <row r="254" spans="4:19">
      <c r="D254" s="9"/>
      <c r="F254" s="10"/>
      <c r="G254" s="10"/>
      <c r="H254" s="10"/>
      <c r="I254" s="10"/>
      <c r="J254" s="10"/>
      <c r="S254" s="26"/>
    </row>
    <row r="255" spans="4:19">
      <c r="D255" s="9"/>
      <c r="F255" s="10"/>
      <c r="G255" s="10"/>
      <c r="H255" s="10"/>
      <c r="I255" s="10"/>
      <c r="J255" s="10"/>
      <c r="S255" s="26"/>
    </row>
    <row r="256" spans="4:19">
      <c r="D256" s="9"/>
      <c r="F256" s="10"/>
      <c r="G256" s="10"/>
      <c r="H256" s="10"/>
      <c r="I256" s="10"/>
      <c r="J256" s="10"/>
      <c r="S256" s="26"/>
    </row>
    <row r="257" spans="4:19">
      <c r="D257" s="9"/>
      <c r="F257" s="10"/>
      <c r="G257" s="10"/>
      <c r="H257" s="10"/>
      <c r="I257" s="10"/>
      <c r="J257" s="10"/>
      <c r="S257" s="26"/>
    </row>
    <row r="258" spans="4:19">
      <c r="D258" s="9"/>
      <c r="F258" s="10"/>
      <c r="G258" s="10"/>
      <c r="H258" s="10"/>
      <c r="I258" s="10"/>
      <c r="J258" s="10"/>
      <c r="S258" s="26"/>
    </row>
    <row r="259" spans="4:19">
      <c r="D259" s="9"/>
      <c r="F259" s="10"/>
      <c r="G259" s="10"/>
      <c r="H259" s="10"/>
      <c r="I259" s="10"/>
      <c r="J259" s="10"/>
      <c r="S259" s="26"/>
    </row>
    <row r="260" spans="4:19">
      <c r="D260" s="9"/>
      <c r="F260" s="10"/>
      <c r="G260" s="10"/>
      <c r="H260" s="10"/>
      <c r="I260" s="10"/>
      <c r="J260" s="10"/>
      <c r="S260" s="26"/>
    </row>
    <row r="261" spans="4:19">
      <c r="D261" s="9"/>
      <c r="F261" s="10"/>
      <c r="G261" s="10"/>
      <c r="H261" s="10"/>
      <c r="I261" s="10"/>
      <c r="J261" s="10"/>
      <c r="S261" s="26"/>
    </row>
    <row r="262" spans="4:19">
      <c r="D262" s="9"/>
      <c r="F262" s="10"/>
      <c r="G262" s="10"/>
      <c r="H262" s="10"/>
      <c r="I262" s="10"/>
      <c r="J262" s="10"/>
      <c r="S262" s="26"/>
    </row>
    <row r="263" spans="4:19">
      <c r="D263" s="9"/>
      <c r="F263" s="10"/>
      <c r="G263" s="10"/>
      <c r="H263" s="10"/>
      <c r="I263" s="10"/>
      <c r="J263" s="10"/>
      <c r="S263" s="26"/>
    </row>
    <row r="264" spans="4:19">
      <c r="D264" s="9"/>
      <c r="F264" s="10"/>
      <c r="G264" s="10"/>
      <c r="H264" s="10"/>
      <c r="I264" s="10"/>
      <c r="J264" s="10"/>
      <c r="S264" s="26"/>
    </row>
    <row r="265" spans="4:19">
      <c r="D265" s="9"/>
      <c r="F265" s="10"/>
      <c r="G265" s="10"/>
      <c r="H265" s="10"/>
      <c r="I265" s="10"/>
      <c r="J265" s="10"/>
      <c r="S265" s="26"/>
    </row>
    <row r="266" spans="4:19">
      <c r="D266" s="9"/>
      <c r="F266" s="10"/>
      <c r="G266" s="10"/>
      <c r="H266" s="10"/>
      <c r="I266" s="10"/>
      <c r="J266" s="10"/>
      <c r="S266" s="26"/>
    </row>
    <row r="267" spans="4:19">
      <c r="D267" s="9"/>
      <c r="F267" s="10"/>
      <c r="G267" s="10"/>
      <c r="H267" s="10"/>
      <c r="I267" s="10"/>
      <c r="J267" s="10"/>
      <c r="S267" s="26"/>
    </row>
    <row r="268" spans="4:19">
      <c r="D268" s="9"/>
      <c r="F268" s="10"/>
      <c r="G268" s="10"/>
      <c r="H268" s="10"/>
      <c r="I268" s="10"/>
      <c r="J268" s="10"/>
      <c r="S268" s="26"/>
    </row>
    <row r="269" spans="4:19">
      <c r="D269" s="9"/>
      <c r="F269" s="10"/>
      <c r="G269" s="10"/>
      <c r="H269" s="10"/>
      <c r="I269" s="10"/>
      <c r="J269" s="10"/>
      <c r="S269" s="26"/>
    </row>
    <row r="270" spans="4:19">
      <c r="D270" s="9"/>
      <c r="F270" s="10"/>
      <c r="G270" s="10"/>
      <c r="H270" s="10"/>
      <c r="I270" s="10"/>
      <c r="J270" s="10"/>
      <c r="S270" s="26"/>
    </row>
    <row r="271" spans="4:19">
      <c r="D271" s="9"/>
      <c r="F271" s="10"/>
      <c r="G271" s="10"/>
      <c r="H271" s="10"/>
      <c r="I271" s="10"/>
      <c r="J271" s="10"/>
      <c r="S271" s="26"/>
    </row>
    <row r="272" spans="4:19">
      <c r="D272" s="9"/>
      <c r="F272" s="10"/>
      <c r="G272" s="10"/>
      <c r="H272" s="10"/>
      <c r="I272" s="10"/>
      <c r="J272" s="10"/>
      <c r="S272" s="26"/>
    </row>
    <row r="273" spans="4:19">
      <c r="D273" s="9"/>
      <c r="F273" s="10"/>
      <c r="G273" s="10"/>
      <c r="H273" s="10"/>
      <c r="I273" s="10"/>
      <c r="J273" s="10"/>
      <c r="S273" s="26"/>
    </row>
    <row r="274" spans="4:19">
      <c r="D274" s="9"/>
      <c r="F274" s="10"/>
      <c r="G274" s="10"/>
      <c r="H274" s="10"/>
      <c r="I274" s="10"/>
      <c r="J274" s="10"/>
      <c r="S274" s="26"/>
    </row>
    <row r="275" spans="4:19">
      <c r="D275" s="9"/>
      <c r="F275" s="10"/>
      <c r="G275" s="10"/>
      <c r="H275" s="10"/>
      <c r="I275" s="10"/>
      <c r="J275" s="10"/>
      <c r="S275" s="26"/>
    </row>
    <row r="276" spans="4:19">
      <c r="D276" s="9"/>
      <c r="F276" s="10"/>
      <c r="G276" s="10"/>
      <c r="H276" s="10"/>
      <c r="I276" s="10"/>
      <c r="J276" s="10"/>
      <c r="S276" s="26"/>
    </row>
    <row r="277" spans="4:19">
      <c r="D277" s="9"/>
      <c r="F277" s="10"/>
      <c r="G277" s="10"/>
      <c r="H277" s="10"/>
      <c r="I277" s="10"/>
      <c r="J277" s="10"/>
      <c r="S277" s="26"/>
    </row>
    <row r="278" spans="4:19">
      <c r="D278" s="9"/>
      <c r="F278" s="10"/>
      <c r="G278" s="10"/>
      <c r="H278" s="10"/>
      <c r="I278" s="10"/>
      <c r="J278" s="10"/>
      <c r="S278" s="26"/>
    </row>
    <row r="279" spans="4:19">
      <c r="D279" s="9"/>
      <c r="F279" s="10"/>
      <c r="G279" s="10"/>
      <c r="H279" s="10"/>
      <c r="I279" s="10"/>
      <c r="J279" s="10"/>
      <c r="S279" s="26"/>
    </row>
    <row r="280" spans="4:19">
      <c r="D280" s="9"/>
      <c r="F280" s="10"/>
      <c r="G280" s="10"/>
      <c r="H280" s="10"/>
      <c r="I280" s="10"/>
      <c r="J280" s="10"/>
      <c r="S280" s="26"/>
    </row>
    <row r="281" spans="4:19">
      <c r="D281" s="9"/>
      <c r="F281" s="10"/>
      <c r="G281" s="10"/>
      <c r="H281" s="10"/>
      <c r="I281" s="10"/>
      <c r="J281" s="10"/>
      <c r="S281" s="26"/>
    </row>
    <row r="282" spans="4:19">
      <c r="D282" s="9"/>
      <c r="F282" s="10"/>
      <c r="G282" s="10"/>
      <c r="H282" s="10"/>
      <c r="I282" s="10"/>
      <c r="J282" s="10"/>
      <c r="S282" s="26"/>
    </row>
    <row r="283" spans="4:19">
      <c r="D283" s="9"/>
      <c r="F283" s="10"/>
      <c r="G283" s="10"/>
      <c r="H283" s="10"/>
      <c r="I283" s="10"/>
      <c r="J283" s="10"/>
      <c r="S283" s="26"/>
    </row>
    <row r="284" spans="4:19">
      <c r="D284" s="9"/>
      <c r="F284" s="10"/>
      <c r="G284" s="10"/>
      <c r="H284" s="10"/>
      <c r="I284" s="10"/>
      <c r="J284" s="10"/>
      <c r="S284" s="26"/>
    </row>
    <row r="285" spans="4:19">
      <c r="D285" s="9"/>
      <c r="F285" s="10"/>
      <c r="G285" s="10"/>
      <c r="H285" s="10"/>
      <c r="I285" s="10"/>
      <c r="J285" s="10"/>
      <c r="S285" s="26"/>
    </row>
    <row r="286" spans="4:19">
      <c r="D286" s="9"/>
      <c r="F286" s="10"/>
      <c r="G286" s="10"/>
      <c r="H286" s="10"/>
      <c r="I286" s="10"/>
      <c r="J286" s="10"/>
      <c r="S286" s="26"/>
    </row>
    <row r="287" spans="4:19">
      <c r="D287" s="9"/>
      <c r="F287" s="10"/>
      <c r="G287" s="10"/>
      <c r="H287" s="10"/>
      <c r="I287" s="10"/>
      <c r="J287" s="10"/>
      <c r="S287" s="26"/>
    </row>
    <row r="288" spans="4:19">
      <c r="D288" s="9"/>
      <c r="F288" s="10"/>
      <c r="G288" s="10"/>
      <c r="H288" s="10"/>
      <c r="I288" s="10"/>
      <c r="J288" s="10"/>
      <c r="S288" s="26"/>
    </row>
    <row r="289" spans="4:19">
      <c r="D289" s="9"/>
      <c r="F289" s="10"/>
      <c r="G289" s="10"/>
      <c r="H289" s="10"/>
      <c r="I289" s="10"/>
      <c r="J289" s="10"/>
      <c r="S289" s="26"/>
    </row>
    <row r="290" spans="4:19">
      <c r="D290" s="9"/>
      <c r="F290" s="10"/>
      <c r="G290" s="10"/>
      <c r="H290" s="10"/>
      <c r="I290" s="10"/>
      <c r="J290" s="10"/>
      <c r="S290" s="26"/>
    </row>
    <row r="291" spans="4:19">
      <c r="D291" s="9"/>
      <c r="F291" s="10"/>
      <c r="G291" s="10"/>
      <c r="H291" s="10"/>
      <c r="I291" s="10"/>
      <c r="J291" s="10"/>
      <c r="S291" s="26"/>
    </row>
    <row r="292" spans="4:19">
      <c r="D292" s="9"/>
      <c r="F292" s="10"/>
      <c r="G292" s="10"/>
      <c r="H292" s="10"/>
      <c r="I292" s="10"/>
      <c r="J292" s="10"/>
      <c r="S292" s="26"/>
    </row>
    <row r="293" spans="4:19">
      <c r="D293" s="9"/>
      <c r="F293" s="10"/>
      <c r="G293" s="10"/>
      <c r="H293" s="10"/>
      <c r="I293" s="10"/>
      <c r="J293" s="10"/>
      <c r="S293" s="26"/>
    </row>
    <row r="294" spans="4:19">
      <c r="D294" s="9"/>
      <c r="F294" s="10"/>
      <c r="G294" s="10"/>
      <c r="H294" s="10"/>
      <c r="I294" s="10"/>
      <c r="J294" s="10"/>
      <c r="S294" s="26"/>
    </row>
    <row r="295" spans="4:19">
      <c r="D295" s="9"/>
      <c r="F295" s="10"/>
      <c r="G295" s="10"/>
      <c r="H295" s="10"/>
      <c r="I295" s="10"/>
      <c r="J295" s="10"/>
      <c r="S295" s="26"/>
    </row>
    <row r="296" spans="4:19">
      <c r="D296" s="9"/>
      <c r="F296" s="10"/>
      <c r="G296" s="10"/>
      <c r="H296" s="10"/>
      <c r="I296" s="10"/>
      <c r="J296" s="10"/>
      <c r="S296" s="26"/>
    </row>
    <row r="297" spans="4:19">
      <c r="D297" s="9"/>
      <c r="F297" s="10"/>
      <c r="G297" s="10"/>
      <c r="H297" s="10"/>
      <c r="I297" s="10"/>
      <c r="J297" s="10"/>
      <c r="S297" s="26"/>
    </row>
    <row r="298" spans="4:19">
      <c r="D298" s="9"/>
      <c r="F298" s="10"/>
      <c r="G298" s="10"/>
      <c r="H298" s="10"/>
      <c r="I298" s="10"/>
      <c r="J298" s="10"/>
      <c r="S298" s="26"/>
    </row>
    <row r="299" spans="4:19">
      <c r="D299" s="9"/>
      <c r="F299" s="10"/>
      <c r="G299" s="10"/>
      <c r="H299" s="10"/>
      <c r="I299" s="10"/>
      <c r="J299" s="10"/>
      <c r="S299" s="26"/>
    </row>
    <row r="300" spans="4:19">
      <c r="D300" s="9"/>
      <c r="F300" s="10"/>
      <c r="G300" s="10"/>
      <c r="H300" s="10"/>
      <c r="I300" s="10"/>
      <c r="J300" s="10"/>
      <c r="S300" s="26"/>
    </row>
    <row r="301" spans="4:19">
      <c r="D301" s="9"/>
      <c r="F301" s="10"/>
      <c r="G301" s="10"/>
      <c r="H301" s="10"/>
      <c r="I301" s="10"/>
      <c r="J301" s="10"/>
      <c r="S301" s="26"/>
    </row>
    <row r="302" spans="4:19">
      <c r="D302" s="9"/>
      <c r="F302" s="10"/>
      <c r="G302" s="10"/>
      <c r="H302" s="10"/>
      <c r="I302" s="10"/>
      <c r="J302" s="10"/>
      <c r="S302" s="26"/>
    </row>
    <row r="303" spans="4:19">
      <c r="D303" s="9"/>
      <c r="F303" s="10"/>
      <c r="G303" s="10"/>
      <c r="H303" s="10"/>
      <c r="I303" s="10"/>
      <c r="J303" s="10"/>
      <c r="S303" s="26"/>
    </row>
    <row r="304" spans="4:19">
      <c r="D304" s="9"/>
      <c r="F304" s="10"/>
      <c r="G304" s="10"/>
      <c r="H304" s="10"/>
      <c r="I304" s="10"/>
      <c r="J304" s="10"/>
      <c r="S304" s="26"/>
    </row>
    <row r="305" spans="4:19">
      <c r="D305" s="9"/>
      <c r="F305" s="10"/>
      <c r="G305" s="10"/>
      <c r="H305" s="10"/>
      <c r="I305" s="10"/>
      <c r="J305" s="10"/>
      <c r="S305" s="26"/>
    </row>
    <row r="306" spans="4:19">
      <c r="D306" s="9"/>
      <c r="F306" s="10"/>
      <c r="G306" s="10"/>
      <c r="H306" s="10"/>
      <c r="I306" s="10"/>
      <c r="J306" s="10"/>
      <c r="S306" s="26"/>
    </row>
    <row r="307" spans="4:19">
      <c r="D307" s="9"/>
      <c r="F307" s="10"/>
      <c r="G307" s="10"/>
      <c r="H307" s="10"/>
      <c r="I307" s="10"/>
      <c r="J307" s="10"/>
      <c r="S307" s="26"/>
    </row>
    <row r="308" spans="4:19">
      <c r="D308" s="9"/>
      <c r="F308" s="10"/>
      <c r="G308" s="10"/>
      <c r="H308" s="10"/>
      <c r="I308" s="10"/>
      <c r="J308" s="10"/>
      <c r="S308" s="26"/>
    </row>
    <row r="309" spans="4:19">
      <c r="D309" s="9"/>
      <c r="F309" s="10"/>
      <c r="G309" s="10"/>
      <c r="H309" s="10"/>
      <c r="I309" s="10"/>
      <c r="J309" s="10"/>
      <c r="S309" s="26"/>
    </row>
    <row r="310" spans="4:19">
      <c r="D310" s="9"/>
      <c r="F310" s="10"/>
      <c r="G310" s="10"/>
      <c r="H310" s="10"/>
      <c r="I310" s="10"/>
      <c r="J310" s="10"/>
      <c r="S310" s="26"/>
    </row>
    <row r="311" spans="4:19">
      <c r="D311" s="9"/>
      <c r="F311" s="10"/>
      <c r="G311" s="10"/>
      <c r="H311" s="10"/>
      <c r="I311" s="10"/>
      <c r="J311" s="10"/>
      <c r="S311" s="26"/>
    </row>
    <row r="312" spans="4:19">
      <c r="D312" s="9"/>
      <c r="F312" s="10"/>
      <c r="G312" s="10"/>
      <c r="H312" s="10"/>
      <c r="I312" s="10"/>
      <c r="J312" s="10"/>
      <c r="S312" s="26"/>
    </row>
    <row r="313" spans="4:19">
      <c r="D313" s="9"/>
      <c r="F313" s="10"/>
      <c r="G313" s="10"/>
      <c r="H313" s="10"/>
      <c r="I313" s="10"/>
      <c r="J313" s="10"/>
      <c r="S313" s="26"/>
    </row>
    <row r="314" spans="4:19">
      <c r="D314" s="9"/>
      <c r="F314" s="10"/>
      <c r="G314" s="10"/>
      <c r="H314" s="10"/>
      <c r="I314" s="10"/>
      <c r="J314" s="10"/>
      <c r="S314" s="26"/>
    </row>
    <row r="315" spans="4:19">
      <c r="D315" s="9"/>
      <c r="F315" s="10"/>
      <c r="G315" s="10"/>
      <c r="H315" s="10"/>
      <c r="I315" s="10"/>
      <c r="J315" s="10"/>
      <c r="S315" s="26"/>
    </row>
    <row r="316" spans="4:19">
      <c r="D316" s="9"/>
      <c r="F316" s="10"/>
      <c r="G316" s="10"/>
      <c r="H316" s="10"/>
      <c r="I316" s="10"/>
      <c r="J316" s="10"/>
      <c r="S316" s="26"/>
    </row>
    <row r="317" spans="4:19">
      <c r="D317" s="9"/>
      <c r="F317" s="10"/>
      <c r="G317" s="10"/>
      <c r="H317" s="10"/>
      <c r="I317" s="10"/>
      <c r="J317" s="10"/>
      <c r="S317" s="26"/>
    </row>
    <row r="318" spans="4:19">
      <c r="D318" s="9"/>
      <c r="F318" s="10"/>
      <c r="G318" s="10"/>
      <c r="H318" s="10"/>
      <c r="I318" s="10"/>
      <c r="J318" s="10"/>
      <c r="S318" s="26"/>
    </row>
    <row r="319" spans="4:19">
      <c r="D319" s="9"/>
      <c r="F319" s="10"/>
      <c r="G319" s="10"/>
      <c r="H319" s="10"/>
      <c r="I319" s="10"/>
      <c r="J319" s="10"/>
      <c r="S319" s="26"/>
    </row>
    <row r="320" spans="4:19">
      <c r="D320" s="9"/>
      <c r="F320" s="10"/>
      <c r="G320" s="10"/>
      <c r="H320" s="10"/>
      <c r="I320" s="10"/>
      <c r="J320" s="10"/>
      <c r="S320" s="26"/>
    </row>
    <row r="321" spans="4:19">
      <c r="D321" s="9"/>
      <c r="F321" s="10"/>
      <c r="G321" s="10"/>
      <c r="H321" s="10"/>
      <c r="I321" s="10"/>
      <c r="J321" s="10"/>
      <c r="S321" s="26"/>
    </row>
    <row r="322" spans="4:19">
      <c r="D322" s="9"/>
      <c r="F322" s="10"/>
      <c r="G322" s="10"/>
      <c r="H322" s="10"/>
      <c r="I322" s="10"/>
      <c r="J322" s="10"/>
      <c r="S322" s="26"/>
    </row>
    <row r="323" spans="4:19">
      <c r="D323" s="9"/>
      <c r="F323" s="10"/>
      <c r="G323" s="10"/>
      <c r="H323" s="10"/>
      <c r="I323" s="10"/>
      <c r="J323" s="10"/>
      <c r="S323" s="26"/>
    </row>
    <row r="324" spans="4:19">
      <c r="D324" s="9"/>
      <c r="F324" s="10"/>
      <c r="G324" s="10"/>
      <c r="H324" s="10"/>
      <c r="I324" s="10"/>
      <c r="J324" s="10"/>
      <c r="S324" s="26"/>
    </row>
    <row r="325" spans="4:19">
      <c r="D325" s="9"/>
      <c r="F325" s="10"/>
      <c r="G325" s="10"/>
      <c r="H325" s="10"/>
      <c r="I325" s="10"/>
      <c r="J325" s="10"/>
      <c r="S325" s="26"/>
    </row>
    <row r="326" spans="4:19">
      <c r="D326" s="9"/>
      <c r="F326" s="10"/>
      <c r="G326" s="10"/>
      <c r="H326" s="10"/>
      <c r="I326" s="10"/>
      <c r="J326" s="10"/>
      <c r="S326" s="26"/>
    </row>
    <row r="327" spans="4:19">
      <c r="D327" s="9"/>
      <c r="F327" s="10"/>
      <c r="G327" s="10"/>
      <c r="H327" s="10"/>
      <c r="I327" s="10"/>
      <c r="J327" s="10"/>
      <c r="S327" s="26"/>
    </row>
    <row r="328" spans="4:19">
      <c r="D328" s="9"/>
      <c r="F328" s="10"/>
      <c r="G328" s="10"/>
      <c r="H328" s="10"/>
      <c r="I328" s="10"/>
      <c r="J328" s="10"/>
      <c r="S328" s="26"/>
    </row>
    <row r="329" spans="4:19">
      <c r="D329" s="9"/>
      <c r="F329" s="10"/>
      <c r="G329" s="10"/>
      <c r="H329" s="10"/>
      <c r="I329" s="10"/>
      <c r="J329" s="10"/>
      <c r="S329" s="26"/>
    </row>
    <row r="330" spans="4:19">
      <c r="D330" s="9"/>
      <c r="F330" s="10"/>
      <c r="G330" s="10"/>
      <c r="H330" s="10"/>
      <c r="I330" s="10"/>
      <c r="J330" s="10"/>
      <c r="S330" s="26"/>
    </row>
    <row r="331" spans="4:19">
      <c r="D331" s="9"/>
      <c r="F331" s="10"/>
      <c r="G331" s="10"/>
      <c r="H331" s="10"/>
      <c r="I331" s="10"/>
      <c r="J331" s="10"/>
      <c r="S331" s="26"/>
    </row>
    <row r="332" spans="4:19">
      <c r="D332" s="9"/>
      <c r="F332" s="10"/>
      <c r="G332" s="10"/>
      <c r="H332" s="10"/>
      <c r="I332" s="10"/>
      <c r="J332" s="10"/>
      <c r="S332" s="26"/>
    </row>
    <row r="333" spans="4:19">
      <c r="D333" s="9"/>
      <c r="F333" s="10"/>
      <c r="G333" s="10"/>
      <c r="H333" s="10"/>
      <c r="I333" s="10"/>
      <c r="J333" s="10"/>
      <c r="S333" s="26"/>
    </row>
    <row r="334" spans="4:19">
      <c r="D334" s="9"/>
      <c r="F334" s="10"/>
      <c r="G334" s="10"/>
      <c r="H334" s="10"/>
      <c r="I334" s="10"/>
      <c r="J334" s="10"/>
      <c r="S334" s="26"/>
    </row>
    <row r="335" spans="4:19">
      <c r="D335" s="9"/>
      <c r="F335" s="10"/>
      <c r="G335" s="10"/>
      <c r="H335" s="10"/>
      <c r="I335" s="10"/>
      <c r="J335" s="10"/>
      <c r="S335" s="26"/>
    </row>
    <row r="336" spans="4:19">
      <c r="D336" s="9"/>
      <c r="F336" s="10"/>
      <c r="G336" s="10"/>
      <c r="H336" s="10"/>
      <c r="I336" s="10"/>
      <c r="J336" s="10"/>
      <c r="S336" s="26"/>
    </row>
    <row r="337" spans="4:19">
      <c r="D337" s="9"/>
      <c r="F337" s="10"/>
      <c r="G337" s="10"/>
      <c r="H337" s="10"/>
      <c r="I337" s="10"/>
      <c r="J337" s="10"/>
      <c r="S337" s="26"/>
    </row>
    <row r="338" spans="4:19">
      <c r="D338" s="9"/>
      <c r="F338" s="10"/>
      <c r="G338" s="10"/>
      <c r="H338" s="10"/>
      <c r="I338" s="10"/>
      <c r="J338" s="10"/>
      <c r="S338" s="26"/>
    </row>
    <row r="339" spans="4:19">
      <c r="D339" s="9"/>
      <c r="F339" s="10"/>
      <c r="G339" s="10"/>
      <c r="H339" s="10"/>
      <c r="I339" s="10"/>
      <c r="J339" s="10"/>
      <c r="S339" s="26"/>
    </row>
    <row r="340" spans="4:19">
      <c r="D340" s="9"/>
      <c r="F340" s="10"/>
      <c r="G340" s="10"/>
      <c r="H340" s="10"/>
      <c r="I340" s="10"/>
      <c r="J340" s="10"/>
      <c r="S340" s="26"/>
    </row>
    <row r="341" spans="4:19">
      <c r="D341" s="9"/>
      <c r="F341" s="10"/>
      <c r="G341" s="10"/>
      <c r="H341" s="10"/>
      <c r="I341" s="10"/>
      <c r="J341" s="10"/>
      <c r="S341" s="26"/>
    </row>
    <row r="342" spans="4:19">
      <c r="D342" s="9"/>
      <c r="F342" s="10"/>
      <c r="G342" s="10"/>
      <c r="H342" s="10"/>
      <c r="I342" s="10"/>
      <c r="J342" s="10"/>
      <c r="S342" s="26"/>
    </row>
    <row r="343" spans="4:19">
      <c r="D343" s="9"/>
      <c r="F343" s="10"/>
      <c r="G343" s="10"/>
      <c r="H343" s="10"/>
      <c r="I343" s="10"/>
      <c r="J343" s="10"/>
      <c r="S343" s="26"/>
    </row>
    <row r="344" spans="4:19">
      <c r="D344" s="9"/>
      <c r="F344" s="10"/>
      <c r="G344" s="10"/>
      <c r="H344" s="10"/>
      <c r="I344" s="10"/>
      <c r="J344" s="10"/>
      <c r="S344" s="26"/>
    </row>
    <row r="345" spans="4:19">
      <c r="D345" s="9"/>
      <c r="F345" s="10"/>
      <c r="G345" s="10"/>
      <c r="H345" s="10"/>
      <c r="I345" s="10"/>
      <c r="J345" s="10"/>
      <c r="S345" s="26"/>
    </row>
    <row r="346" spans="4:19">
      <c r="D346" s="9"/>
      <c r="F346" s="10"/>
      <c r="G346" s="10"/>
      <c r="H346" s="10"/>
      <c r="I346" s="10"/>
      <c r="J346" s="10"/>
      <c r="S346" s="26"/>
    </row>
    <row r="347" spans="4:19">
      <c r="D347" s="9"/>
      <c r="F347" s="10"/>
      <c r="G347" s="10"/>
      <c r="H347" s="10"/>
      <c r="I347" s="10"/>
      <c r="J347" s="10"/>
      <c r="S347" s="26"/>
    </row>
    <row r="348" spans="4:19">
      <c r="D348" s="9"/>
      <c r="F348" s="10"/>
      <c r="G348" s="10"/>
      <c r="H348" s="10"/>
      <c r="I348" s="10"/>
      <c r="J348" s="10"/>
      <c r="S348" s="26"/>
    </row>
    <row r="349" spans="4:19">
      <c r="D349" s="9"/>
      <c r="F349" s="10"/>
      <c r="G349" s="10"/>
      <c r="H349" s="10"/>
      <c r="I349" s="10"/>
      <c r="J349" s="10"/>
      <c r="S349" s="26"/>
    </row>
    <row r="350" spans="4:19">
      <c r="D350" s="9"/>
      <c r="F350" s="10"/>
      <c r="G350" s="10"/>
      <c r="H350" s="10"/>
      <c r="I350" s="10"/>
      <c r="J350" s="10"/>
      <c r="S350" s="26"/>
    </row>
    <row r="351" spans="4:19">
      <c r="D351" s="9"/>
      <c r="F351" s="10"/>
      <c r="G351" s="10"/>
      <c r="H351" s="10"/>
      <c r="I351" s="10"/>
      <c r="J351" s="10"/>
      <c r="S351" s="26"/>
    </row>
    <row r="352" spans="4:19">
      <c r="D352" s="9"/>
      <c r="F352" s="10"/>
      <c r="G352" s="10"/>
      <c r="H352" s="10"/>
      <c r="I352" s="10"/>
      <c r="J352" s="10"/>
      <c r="S352" s="26"/>
    </row>
    <row r="353" spans="4:19">
      <c r="D353" s="9"/>
      <c r="F353" s="10"/>
      <c r="G353" s="10"/>
      <c r="H353" s="10"/>
      <c r="I353" s="10"/>
      <c r="J353" s="10"/>
      <c r="S353" s="26"/>
    </row>
    <row r="354" spans="4:19">
      <c r="D354" s="9"/>
      <c r="F354" s="10"/>
      <c r="G354" s="10"/>
      <c r="H354" s="10"/>
      <c r="I354" s="10"/>
      <c r="J354" s="10"/>
      <c r="S354" s="26"/>
    </row>
    <row r="355" spans="4:19">
      <c r="D355" s="9"/>
      <c r="F355" s="10"/>
      <c r="G355" s="10"/>
      <c r="H355" s="10"/>
      <c r="I355" s="10"/>
      <c r="J355" s="10"/>
      <c r="S355" s="26"/>
    </row>
    <row r="356" spans="4:19">
      <c r="D356" s="9"/>
      <c r="F356" s="10"/>
      <c r="G356" s="10"/>
      <c r="H356" s="10"/>
      <c r="I356" s="10"/>
      <c r="J356" s="10"/>
      <c r="S356" s="26"/>
    </row>
    <row r="357" spans="4:19">
      <c r="D357" s="9"/>
      <c r="F357" s="10"/>
      <c r="G357" s="10"/>
      <c r="H357" s="10"/>
      <c r="I357" s="10"/>
      <c r="J357" s="10"/>
      <c r="S357" s="26"/>
    </row>
    <row r="358" spans="4:19">
      <c r="D358" s="9"/>
      <c r="F358" s="10"/>
      <c r="G358" s="10"/>
      <c r="H358" s="10"/>
      <c r="I358" s="10"/>
      <c r="J358" s="10"/>
      <c r="S358" s="26"/>
    </row>
    <row r="359" spans="4:19">
      <c r="D359" s="9"/>
      <c r="F359" s="10"/>
      <c r="G359" s="10"/>
      <c r="H359" s="10"/>
      <c r="I359" s="10"/>
      <c r="J359" s="10"/>
      <c r="S359" s="26"/>
    </row>
    <row r="360" spans="4:19">
      <c r="D360" s="9"/>
      <c r="F360" s="10"/>
      <c r="G360" s="10"/>
      <c r="H360" s="10"/>
      <c r="I360" s="10"/>
      <c r="J360" s="10"/>
      <c r="S360" s="26"/>
    </row>
    <row r="361" spans="4:19">
      <c r="D361" s="9"/>
      <c r="F361" s="10"/>
      <c r="G361" s="10"/>
      <c r="H361" s="10"/>
      <c r="I361" s="10"/>
      <c r="J361" s="10"/>
      <c r="S361" s="26"/>
    </row>
    <row r="362" spans="4:19">
      <c r="D362" s="9"/>
      <c r="F362" s="10"/>
      <c r="G362" s="10"/>
      <c r="H362" s="10"/>
      <c r="I362" s="10"/>
      <c r="J362" s="10"/>
      <c r="S362" s="26"/>
    </row>
    <row r="363" spans="4:19">
      <c r="D363" s="9"/>
      <c r="F363" s="10"/>
      <c r="G363" s="10"/>
      <c r="H363" s="10"/>
      <c r="I363" s="10"/>
      <c r="J363" s="10"/>
      <c r="S363" s="26"/>
    </row>
    <row r="364" spans="4:19">
      <c r="D364" s="9"/>
      <c r="F364" s="10"/>
      <c r="G364" s="10"/>
      <c r="H364" s="10"/>
      <c r="I364" s="10"/>
      <c r="J364" s="10"/>
      <c r="S364" s="26"/>
    </row>
    <row r="365" spans="4:19">
      <c r="D365" s="9"/>
      <c r="F365" s="10"/>
      <c r="G365" s="10"/>
      <c r="H365" s="10"/>
      <c r="I365" s="10"/>
      <c r="J365" s="10"/>
      <c r="S365" s="26"/>
    </row>
    <row r="366" spans="4:19">
      <c r="D366" s="9"/>
      <c r="F366" s="10"/>
      <c r="G366" s="10"/>
      <c r="H366" s="10"/>
      <c r="I366" s="10"/>
      <c r="J366" s="10"/>
      <c r="S366" s="26"/>
    </row>
    <row r="367" spans="4:19">
      <c r="D367" s="9"/>
      <c r="F367" s="10"/>
      <c r="G367" s="10"/>
      <c r="H367" s="10"/>
      <c r="I367" s="10"/>
      <c r="J367" s="10"/>
      <c r="S367" s="26"/>
    </row>
    <row r="368" spans="4:19">
      <c r="D368" s="9"/>
      <c r="F368" s="10"/>
      <c r="G368" s="10"/>
      <c r="H368" s="10"/>
      <c r="I368" s="10"/>
      <c r="J368" s="10"/>
      <c r="S368" s="26"/>
    </row>
    <row r="369" spans="4:19">
      <c r="D369" s="9"/>
      <c r="F369" s="10"/>
      <c r="G369" s="10"/>
      <c r="H369" s="10"/>
      <c r="I369" s="10"/>
      <c r="J369" s="10"/>
      <c r="S369" s="26"/>
    </row>
    <row r="370" spans="4:19">
      <c r="D370" s="9"/>
      <c r="F370" s="10"/>
      <c r="G370" s="10"/>
      <c r="H370" s="10"/>
      <c r="I370" s="10"/>
      <c r="J370" s="10"/>
      <c r="S370" s="26"/>
    </row>
    <row r="371" spans="4:19">
      <c r="D371" s="9"/>
      <c r="F371" s="10"/>
      <c r="G371" s="10"/>
      <c r="H371" s="10"/>
      <c r="I371" s="10"/>
      <c r="J371" s="10"/>
      <c r="S371" s="26"/>
    </row>
    <row r="372" spans="4:19">
      <c r="D372" s="9"/>
      <c r="F372" s="10"/>
      <c r="G372" s="10"/>
      <c r="H372" s="10"/>
      <c r="I372" s="10"/>
      <c r="J372" s="10"/>
      <c r="S372" s="26"/>
    </row>
    <row r="373" spans="4:19">
      <c r="D373" s="9"/>
      <c r="F373" s="10"/>
      <c r="G373" s="10"/>
      <c r="H373" s="10"/>
      <c r="I373" s="10"/>
      <c r="J373" s="10"/>
      <c r="S373" s="26"/>
    </row>
    <row r="374" spans="4:19">
      <c r="D374" s="9"/>
      <c r="F374" s="10"/>
      <c r="G374" s="10"/>
      <c r="H374" s="10"/>
      <c r="I374" s="10"/>
      <c r="J374" s="10"/>
      <c r="S374" s="26"/>
    </row>
    <row r="375" spans="4:19">
      <c r="D375" s="9"/>
      <c r="F375" s="10"/>
      <c r="G375" s="10"/>
      <c r="H375" s="10"/>
      <c r="I375" s="10"/>
      <c r="J375" s="10"/>
      <c r="S375" s="26"/>
    </row>
    <row r="376" spans="4:19">
      <c r="D376" s="9"/>
      <c r="F376" s="10"/>
      <c r="G376" s="10"/>
      <c r="H376" s="10"/>
      <c r="I376" s="10"/>
      <c r="J376" s="10"/>
      <c r="S376" s="26"/>
    </row>
    <row r="377" spans="4:19">
      <c r="D377" s="9"/>
      <c r="F377" s="10"/>
      <c r="G377" s="10"/>
      <c r="H377" s="10"/>
      <c r="I377" s="10"/>
      <c r="J377" s="10"/>
      <c r="S377" s="26"/>
    </row>
    <row r="378" spans="4:19">
      <c r="D378" s="9"/>
      <c r="F378" s="10"/>
      <c r="G378" s="10"/>
      <c r="H378" s="10"/>
      <c r="I378" s="10"/>
      <c r="J378" s="10"/>
      <c r="S378" s="26"/>
    </row>
    <row r="379" spans="4:19">
      <c r="D379" s="9"/>
      <c r="F379" s="10"/>
      <c r="G379" s="10"/>
      <c r="H379" s="10"/>
      <c r="I379" s="10"/>
      <c r="J379" s="10"/>
      <c r="S379" s="26"/>
    </row>
    <row r="380" spans="4:19">
      <c r="D380" s="9"/>
      <c r="F380" s="10"/>
      <c r="G380" s="10"/>
      <c r="H380" s="10"/>
      <c r="I380" s="10"/>
      <c r="J380" s="10"/>
      <c r="S380" s="26"/>
    </row>
    <row r="381" spans="4:19">
      <c r="D381" s="9"/>
      <c r="F381" s="10"/>
      <c r="G381" s="10"/>
      <c r="H381" s="10"/>
      <c r="I381" s="10"/>
      <c r="J381" s="10"/>
      <c r="S381" s="26"/>
    </row>
    <row r="382" spans="4:19">
      <c r="D382" s="9"/>
      <c r="F382" s="10"/>
      <c r="G382" s="10"/>
      <c r="H382" s="10"/>
      <c r="I382" s="10"/>
      <c r="J382" s="10"/>
      <c r="S382" s="26"/>
    </row>
    <row r="383" spans="4:19">
      <c r="D383" s="9"/>
      <c r="F383" s="10"/>
      <c r="G383" s="10"/>
      <c r="H383" s="10"/>
      <c r="I383" s="10"/>
      <c r="J383" s="10"/>
      <c r="S383" s="26"/>
    </row>
    <row r="384" spans="4:19">
      <c r="D384" s="9"/>
      <c r="F384" s="10"/>
      <c r="G384" s="10"/>
      <c r="H384" s="10"/>
      <c r="I384" s="10"/>
      <c r="J384" s="10"/>
      <c r="S384" s="26"/>
    </row>
    <row r="385" spans="4:19">
      <c r="D385" s="9"/>
      <c r="F385" s="10"/>
      <c r="G385" s="10"/>
      <c r="H385" s="10"/>
      <c r="I385" s="10"/>
      <c r="J385" s="10"/>
      <c r="S385" s="26"/>
    </row>
    <row r="386" spans="4:19">
      <c r="D386" s="9"/>
      <c r="F386" s="10"/>
      <c r="G386" s="10"/>
      <c r="H386" s="10"/>
      <c r="I386" s="10"/>
      <c r="J386" s="10"/>
      <c r="S386" s="26"/>
    </row>
    <row r="387" spans="4:19">
      <c r="D387" s="9"/>
      <c r="F387" s="10"/>
      <c r="G387" s="10"/>
      <c r="H387" s="10"/>
      <c r="I387" s="10"/>
      <c r="J387" s="10"/>
      <c r="S387" s="26"/>
    </row>
    <row r="388" spans="4:19">
      <c r="D388" s="9"/>
      <c r="F388" s="10"/>
      <c r="G388" s="10"/>
      <c r="H388" s="10"/>
      <c r="I388" s="10"/>
      <c r="J388" s="10"/>
      <c r="S388" s="26"/>
    </row>
    <row r="389" spans="4:19">
      <c r="D389" s="9"/>
      <c r="F389" s="10"/>
      <c r="G389" s="10"/>
      <c r="H389" s="10"/>
      <c r="I389" s="10"/>
      <c r="J389" s="10"/>
      <c r="S389" s="26"/>
    </row>
    <row r="390" spans="4:19">
      <c r="D390" s="9"/>
      <c r="F390" s="10"/>
      <c r="G390" s="10"/>
      <c r="H390" s="10"/>
      <c r="I390" s="10"/>
      <c r="J390" s="10"/>
      <c r="S390" s="26"/>
    </row>
    <row r="391" spans="4:19">
      <c r="D391" s="9"/>
      <c r="F391" s="10"/>
      <c r="G391" s="10"/>
      <c r="H391" s="10"/>
      <c r="I391" s="10"/>
      <c r="J391" s="10"/>
      <c r="S391" s="26"/>
    </row>
    <row r="392" spans="4:19">
      <c r="D392" s="9"/>
      <c r="F392" s="10"/>
      <c r="G392" s="10"/>
      <c r="H392" s="10"/>
      <c r="I392" s="10"/>
      <c r="J392" s="10"/>
      <c r="S392" s="26"/>
    </row>
    <row r="393" spans="4:19">
      <c r="D393" s="9"/>
      <c r="F393" s="10"/>
      <c r="G393" s="10"/>
      <c r="H393" s="10"/>
      <c r="I393" s="10"/>
      <c r="J393" s="10"/>
      <c r="S393" s="26"/>
    </row>
    <row r="394" spans="4:19">
      <c r="D394" s="9"/>
      <c r="F394" s="10"/>
      <c r="G394" s="10"/>
      <c r="H394" s="10"/>
      <c r="I394" s="10"/>
      <c r="J394" s="10"/>
      <c r="S394" s="26"/>
    </row>
    <row r="395" spans="4:19">
      <c r="D395" s="9"/>
      <c r="F395" s="10"/>
      <c r="G395" s="10"/>
      <c r="H395" s="10"/>
      <c r="I395" s="10"/>
      <c r="J395" s="10"/>
      <c r="S395" s="26"/>
    </row>
    <row r="396" spans="4:19">
      <c r="D396" s="9"/>
      <c r="F396" s="10"/>
      <c r="G396" s="10"/>
      <c r="H396" s="10"/>
      <c r="I396" s="10"/>
      <c r="J396" s="10"/>
      <c r="S396" s="26"/>
    </row>
    <row r="397" spans="4:19">
      <c r="D397" s="9"/>
      <c r="F397" s="10"/>
      <c r="G397" s="10"/>
      <c r="H397" s="10"/>
      <c r="I397" s="10"/>
      <c r="J397" s="10"/>
      <c r="S397" s="26"/>
    </row>
    <row r="398" spans="4:19">
      <c r="D398" s="9"/>
      <c r="F398" s="10"/>
      <c r="G398" s="10"/>
      <c r="H398" s="10"/>
      <c r="I398" s="10"/>
      <c r="J398" s="10"/>
      <c r="S398" s="26"/>
    </row>
    <row r="399" spans="4:19">
      <c r="D399" s="9"/>
      <c r="F399" s="10"/>
      <c r="G399" s="10"/>
      <c r="H399" s="10"/>
      <c r="I399" s="10"/>
      <c r="J399" s="10"/>
      <c r="S399" s="26"/>
    </row>
    <row r="400" spans="4:19">
      <c r="D400" s="9"/>
      <c r="F400" s="10"/>
      <c r="G400" s="10"/>
      <c r="H400" s="10"/>
      <c r="I400" s="10"/>
      <c r="J400" s="10"/>
      <c r="S400" s="26"/>
    </row>
    <row r="401" spans="4:19">
      <c r="D401" s="9"/>
      <c r="F401" s="10"/>
      <c r="G401" s="10"/>
      <c r="H401" s="10"/>
      <c r="I401" s="10"/>
      <c r="J401" s="10"/>
      <c r="S401" s="26"/>
    </row>
    <row r="402" spans="4:19">
      <c r="D402" s="9"/>
      <c r="F402" s="10"/>
      <c r="G402" s="10"/>
      <c r="H402" s="10"/>
      <c r="I402" s="10"/>
      <c r="J402" s="10"/>
      <c r="S402" s="26"/>
    </row>
    <row r="403" spans="4:19">
      <c r="D403" s="9"/>
      <c r="F403" s="10"/>
      <c r="G403" s="10"/>
      <c r="H403" s="10"/>
      <c r="I403" s="10"/>
      <c r="J403" s="10"/>
      <c r="S403" s="26"/>
    </row>
    <row r="404" spans="4:19">
      <c r="D404" s="9"/>
      <c r="F404" s="10"/>
      <c r="G404" s="10"/>
      <c r="H404" s="10"/>
      <c r="I404" s="10"/>
      <c r="J404" s="10"/>
      <c r="S404" s="26"/>
    </row>
    <row r="405" spans="4:19">
      <c r="D405" s="9"/>
      <c r="F405" s="10"/>
      <c r="G405" s="10"/>
      <c r="H405" s="10"/>
      <c r="I405" s="10"/>
      <c r="J405" s="10"/>
      <c r="S405" s="26"/>
    </row>
    <row r="406" spans="4:19">
      <c r="D406" s="9"/>
      <c r="F406" s="10"/>
      <c r="G406" s="10"/>
      <c r="H406" s="10"/>
      <c r="I406" s="10"/>
      <c r="J406" s="10"/>
      <c r="S406" s="26"/>
    </row>
    <row r="407" spans="4:19">
      <c r="D407" s="9"/>
      <c r="F407" s="10"/>
      <c r="G407" s="10"/>
      <c r="H407" s="10"/>
      <c r="I407" s="10"/>
      <c r="J407" s="10"/>
      <c r="S407" s="26"/>
    </row>
    <row r="408" spans="4:19">
      <c r="D408" s="9"/>
      <c r="F408" s="10"/>
      <c r="G408" s="10"/>
      <c r="H408" s="10"/>
      <c r="I408" s="10"/>
      <c r="J408" s="10"/>
      <c r="S408" s="26"/>
    </row>
    <row r="409" spans="4:19">
      <c r="D409" s="9"/>
      <c r="F409" s="10"/>
      <c r="G409" s="10"/>
      <c r="H409" s="10"/>
      <c r="I409" s="10"/>
      <c r="J409" s="10"/>
      <c r="S409" s="26"/>
    </row>
    <row r="410" spans="4:19">
      <c r="D410" s="9"/>
      <c r="F410" s="10"/>
      <c r="G410" s="10"/>
      <c r="H410" s="10"/>
      <c r="I410" s="10"/>
      <c r="J410" s="10"/>
      <c r="S410" s="26"/>
    </row>
    <row r="411" spans="4:19">
      <c r="D411" s="9"/>
      <c r="F411" s="10"/>
      <c r="G411" s="10"/>
      <c r="H411" s="10"/>
      <c r="I411" s="10"/>
      <c r="J411" s="10"/>
      <c r="S411" s="26"/>
    </row>
    <row r="412" spans="4:19">
      <c r="D412" s="9"/>
      <c r="F412" s="10"/>
      <c r="G412" s="10"/>
      <c r="H412" s="10"/>
      <c r="I412" s="10"/>
      <c r="J412" s="10"/>
      <c r="S412" s="26"/>
    </row>
    <row r="413" spans="4:19">
      <c r="D413" s="9"/>
      <c r="F413" s="10"/>
      <c r="G413" s="10"/>
      <c r="H413" s="10"/>
      <c r="I413" s="10"/>
      <c r="J413" s="10"/>
      <c r="S413" s="26"/>
    </row>
    <row r="414" spans="4:19">
      <c r="D414" s="9"/>
      <c r="F414" s="10"/>
      <c r="G414" s="10"/>
      <c r="H414" s="10"/>
      <c r="I414" s="10"/>
      <c r="J414" s="10"/>
      <c r="S414" s="26"/>
    </row>
    <row r="415" spans="4:19">
      <c r="D415" s="9"/>
      <c r="F415" s="10"/>
      <c r="G415" s="10"/>
      <c r="H415" s="10"/>
      <c r="I415" s="10"/>
      <c r="J415" s="10"/>
      <c r="S415" s="26"/>
    </row>
    <row r="416" spans="4:19">
      <c r="D416" s="9"/>
      <c r="F416" s="10"/>
      <c r="G416" s="10"/>
      <c r="H416" s="10"/>
      <c r="I416" s="10"/>
      <c r="J416" s="10"/>
      <c r="S416" s="26"/>
    </row>
    <row r="417" spans="4:19">
      <c r="D417" s="9"/>
      <c r="F417" s="10"/>
      <c r="G417" s="10"/>
      <c r="H417" s="10"/>
      <c r="I417" s="10"/>
      <c r="J417" s="10"/>
      <c r="S417" s="26"/>
    </row>
    <row r="418" spans="4:19">
      <c r="D418" s="9"/>
      <c r="F418" s="10"/>
      <c r="G418" s="10"/>
      <c r="H418" s="10"/>
      <c r="I418" s="10"/>
      <c r="J418" s="10"/>
      <c r="S418" s="26"/>
    </row>
    <row r="419" spans="4:19">
      <c r="D419" s="9"/>
      <c r="F419" s="10"/>
      <c r="G419" s="10"/>
      <c r="H419" s="10"/>
      <c r="I419" s="10"/>
      <c r="J419" s="10"/>
      <c r="S419" s="26"/>
    </row>
    <row r="420" spans="4:19">
      <c r="D420" s="9"/>
      <c r="F420" s="10"/>
      <c r="G420" s="10"/>
      <c r="H420" s="10"/>
      <c r="I420" s="10"/>
      <c r="J420" s="10"/>
      <c r="S420" s="26"/>
    </row>
    <row r="421" spans="4:19">
      <c r="D421" s="9"/>
      <c r="F421" s="10"/>
      <c r="G421" s="10"/>
      <c r="H421" s="10"/>
      <c r="I421" s="10"/>
      <c r="J421" s="10"/>
      <c r="S421" s="26"/>
    </row>
    <row r="422" spans="4:19">
      <c r="D422" s="9"/>
      <c r="F422" s="10"/>
      <c r="G422" s="10"/>
      <c r="H422" s="10"/>
      <c r="I422" s="10"/>
      <c r="J422" s="10"/>
      <c r="S422" s="26"/>
    </row>
    <row r="423" spans="4:19">
      <c r="D423" s="9"/>
      <c r="F423" s="10"/>
      <c r="G423" s="10"/>
      <c r="H423" s="10"/>
      <c r="I423" s="10"/>
      <c r="J423" s="10"/>
      <c r="S423" s="26"/>
    </row>
    <row r="424" spans="4:19">
      <c r="D424" s="9"/>
      <c r="F424" s="10"/>
      <c r="G424" s="10"/>
      <c r="H424" s="10"/>
      <c r="I424" s="10"/>
      <c r="J424" s="10"/>
      <c r="S424" s="26"/>
    </row>
    <row r="425" spans="4:19">
      <c r="D425" s="9"/>
      <c r="F425" s="10"/>
      <c r="G425" s="10"/>
      <c r="H425" s="10"/>
      <c r="I425" s="10"/>
      <c r="J425" s="10"/>
      <c r="S425" s="26"/>
    </row>
    <row r="426" spans="4:19">
      <c r="D426" s="9"/>
      <c r="F426" s="10"/>
      <c r="G426" s="10"/>
      <c r="H426" s="10"/>
      <c r="I426" s="10"/>
      <c r="J426" s="10"/>
      <c r="S426" s="26"/>
    </row>
    <row r="427" spans="4:19">
      <c r="D427" s="9"/>
      <c r="F427" s="10"/>
      <c r="G427" s="10"/>
      <c r="H427" s="10"/>
      <c r="I427" s="10"/>
      <c r="J427" s="10"/>
      <c r="S427" s="26"/>
    </row>
    <row r="428" spans="4:19">
      <c r="D428" s="9"/>
      <c r="F428" s="10"/>
      <c r="G428" s="10"/>
      <c r="H428" s="10"/>
      <c r="I428" s="10"/>
      <c r="J428" s="10"/>
      <c r="S428" s="26"/>
    </row>
    <row r="429" spans="4:19">
      <c r="D429" s="9"/>
      <c r="F429" s="10"/>
      <c r="G429" s="10"/>
      <c r="H429" s="10"/>
      <c r="I429" s="10"/>
      <c r="J429" s="10"/>
      <c r="S429" s="26"/>
    </row>
    <row r="430" spans="4:19">
      <c r="D430" s="9"/>
      <c r="F430" s="10"/>
      <c r="G430" s="10"/>
      <c r="H430" s="10"/>
      <c r="I430" s="10"/>
      <c r="J430" s="10"/>
      <c r="S430" s="26"/>
    </row>
    <row r="431" spans="4:19">
      <c r="D431" s="9"/>
      <c r="F431" s="10"/>
      <c r="G431" s="10"/>
      <c r="H431" s="10"/>
      <c r="I431" s="10"/>
      <c r="J431" s="10"/>
      <c r="S431" s="26"/>
    </row>
    <row r="432" spans="4:19">
      <c r="D432" s="9"/>
      <c r="F432" s="10"/>
      <c r="G432" s="10"/>
      <c r="H432" s="10"/>
      <c r="I432" s="10"/>
      <c r="J432" s="10"/>
      <c r="S432" s="26"/>
    </row>
    <row r="433" spans="4:19">
      <c r="D433" s="9"/>
      <c r="F433" s="10"/>
      <c r="G433" s="10"/>
      <c r="H433" s="10"/>
      <c r="I433" s="10"/>
      <c r="J433" s="10"/>
      <c r="S433" s="26"/>
    </row>
    <row r="434" spans="4:19">
      <c r="D434" s="9"/>
      <c r="F434" s="10"/>
      <c r="G434" s="10"/>
      <c r="H434" s="10"/>
      <c r="I434" s="10"/>
      <c r="J434" s="10"/>
      <c r="S434" s="26"/>
    </row>
    <row r="435" spans="4:19">
      <c r="D435" s="9"/>
      <c r="F435" s="10"/>
      <c r="G435" s="10"/>
      <c r="H435" s="10"/>
      <c r="I435" s="10"/>
      <c r="J435" s="10"/>
      <c r="S435" s="26"/>
    </row>
    <row r="436" spans="4:19">
      <c r="D436" s="9"/>
      <c r="F436" s="10"/>
      <c r="G436" s="10"/>
      <c r="H436" s="10"/>
      <c r="I436" s="10"/>
      <c r="J436" s="10"/>
      <c r="S436" s="26"/>
    </row>
    <row r="437" spans="4:19">
      <c r="D437" s="9"/>
      <c r="F437" s="10"/>
      <c r="G437" s="10"/>
      <c r="H437" s="10"/>
      <c r="I437" s="10"/>
      <c r="J437" s="10"/>
      <c r="S437" s="26"/>
    </row>
    <row r="438" spans="4:19">
      <c r="D438" s="9"/>
      <c r="F438" s="10"/>
      <c r="G438" s="10"/>
      <c r="H438" s="10"/>
      <c r="I438" s="10"/>
      <c r="J438" s="10"/>
      <c r="S438" s="26"/>
    </row>
    <row r="439" spans="4:19">
      <c r="D439" s="9"/>
      <c r="F439" s="10"/>
      <c r="G439" s="10"/>
      <c r="H439" s="10"/>
      <c r="I439" s="10"/>
      <c r="J439" s="10"/>
      <c r="S439" s="26"/>
    </row>
    <row r="440" spans="4:19">
      <c r="D440" s="9"/>
      <c r="F440" s="10"/>
      <c r="G440" s="10"/>
      <c r="H440" s="10"/>
      <c r="I440" s="10"/>
      <c r="J440" s="10"/>
      <c r="S440" s="26"/>
    </row>
    <row r="441" spans="4:19">
      <c r="D441" s="9"/>
      <c r="F441" s="10"/>
      <c r="G441" s="10"/>
      <c r="H441" s="10"/>
      <c r="I441" s="10"/>
      <c r="J441" s="10"/>
      <c r="S441" s="26"/>
    </row>
    <row r="442" spans="4:19">
      <c r="D442" s="9"/>
      <c r="F442" s="10"/>
      <c r="G442" s="10"/>
      <c r="H442" s="10"/>
      <c r="I442" s="10"/>
      <c r="J442" s="10"/>
      <c r="S442" s="26"/>
    </row>
    <row r="443" spans="4:19">
      <c r="D443" s="9"/>
      <c r="F443" s="10"/>
      <c r="G443" s="10"/>
      <c r="H443" s="10"/>
      <c r="I443" s="10"/>
      <c r="J443" s="10"/>
      <c r="S443" s="26"/>
    </row>
    <row r="444" spans="4:19">
      <c r="D444" s="9"/>
      <c r="F444" s="10"/>
      <c r="G444" s="10"/>
      <c r="H444" s="10"/>
      <c r="I444" s="10"/>
      <c r="J444" s="10"/>
      <c r="S444" s="26"/>
    </row>
    <row r="445" spans="4:19">
      <c r="D445" s="9"/>
      <c r="F445" s="10"/>
      <c r="G445" s="10"/>
      <c r="H445" s="10"/>
      <c r="I445" s="10"/>
      <c r="J445" s="10"/>
      <c r="S445" s="26"/>
    </row>
    <row r="446" spans="4:19">
      <c r="D446" s="9"/>
      <c r="F446" s="10"/>
      <c r="G446" s="10"/>
      <c r="H446" s="10"/>
      <c r="I446" s="10"/>
      <c r="J446" s="10"/>
      <c r="S446" s="26"/>
    </row>
    <row r="447" spans="4:19">
      <c r="D447" s="9"/>
      <c r="F447" s="10"/>
      <c r="G447" s="10"/>
      <c r="H447" s="10"/>
      <c r="I447" s="10"/>
      <c r="J447" s="10"/>
      <c r="S447" s="26"/>
    </row>
    <row r="448" spans="4:19">
      <c r="D448" s="9"/>
      <c r="F448" s="10"/>
      <c r="G448" s="10"/>
      <c r="H448" s="10"/>
      <c r="I448" s="10"/>
      <c r="J448" s="10"/>
      <c r="S448" s="26"/>
    </row>
    <row r="449" spans="4:19">
      <c r="D449" s="9"/>
      <c r="F449" s="10"/>
      <c r="G449" s="10"/>
      <c r="H449" s="10"/>
      <c r="I449" s="10"/>
      <c r="J449" s="10"/>
      <c r="S449" s="26"/>
    </row>
    <row r="450" spans="4:19">
      <c r="D450" s="9"/>
      <c r="F450" s="10"/>
      <c r="G450" s="10"/>
      <c r="H450" s="10"/>
      <c r="I450" s="10"/>
      <c r="J450" s="10"/>
      <c r="S450" s="26"/>
    </row>
    <row r="451" spans="4:19">
      <c r="D451" s="9"/>
      <c r="F451" s="10"/>
      <c r="G451" s="10"/>
      <c r="H451" s="10"/>
      <c r="I451" s="10"/>
      <c r="J451" s="10"/>
      <c r="S451" s="26"/>
    </row>
    <row r="452" spans="4:19">
      <c r="D452" s="9"/>
      <c r="F452" s="10"/>
      <c r="G452" s="10"/>
      <c r="H452" s="10"/>
      <c r="I452" s="10"/>
      <c r="J452" s="10"/>
      <c r="S452" s="26"/>
    </row>
    <row r="453" spans="4:19">
      <c r="D453" s="9"/>
      <c r="F453" s="10"/>
      <c r="G453" s="10"/>
      <c r="H453" s="10"/>
      <c r="I453" s="10"/>
      <c r="J453" s="10"/>
      <c r="S453" s="26"/>
    </row>
    <row r="454" spans="4:19">
      <c r="D454" s="9"/>
      <c r="F454" s="10"/>
      <c r="G454" s="10"/>
      <c r="H454" s="10"/>
      <c r="I454" s="10"/>
      <c r="J454" s="10"/>
      <c r="S454" s="26"/>
    </row>
    <row r="455" spans="4:19">
      <c r="D455" s="9"/>
      <c r="F455" s="10"/>
      <c r="G455" s="10"/>
      <c r="H455" s="10"/>
      <c r="I455" s="10"/>
      <c r="J455" s="10"/>
      <c r="S455" s="26"/>
    </row>
    <row r="456" spans="4:19">
      <c r="D456" s="9"/>
      <c r="F456" s="10"/>
      <c r="G456" s="10"/>
      <c r="H456" s="10"/>
      <c r="I456" s="10"/>
      <c r="J456" s="10"/>
      <c r="S456" s="26"/>
    </row>
    <row r="457" spans="4:19">
      <c r="D457" s="9"/>
      <c r="F457" s="10"/>
      <c r="G457" s="10"/>
      <c r="H457" s="10"/>
      <c r="I457" s="10"/>
      <c r="J457" s="10"/>
      <c r="S457" s="26"/>
    </row>
    <row r="458" spans="4:19">
      <c r="D458" s="9"/>
      <c r="F458" s="10"/>
      <c r="G458" s="10"/>
      <c r="H458" s="10"/>
      <c r="I458" s="10"/>
      <c r="J458" s="10"/>
      <c r="S458" s="26"/>
    </row>
    <row r="459" spans="4:19">
      <c r="D459" s="9"/>
      <c r="F459" s="10"/>
      <c r="G459" s="10"/>
      <c r="H459" s="10"/>
      <c r="I459" s="10"/>
      <c r="J459" s="10"/>
      <c r="S459" s="26"/>
    </row>
    <row r="460" spans="4:19">
      <c r="D460" s="9"/>
      <c r="F460" s="10"/>
      <c r="G460" s="10"/>
      <c r="H460" s="10"/>
      <c r="I460" s="10"/>
      <c r="J460" s="10"/>
      <c r="S460" s="26"/>
    </row>
    <row r="461" spans="4:19">
      <c r="D461" s="9"/>
      <c r="F461" s="10"/>
      <c r="G461" s="10"/>
      <c r="H461" s="10"/>
      <c r="I461" s="10"/>
      <c r="J461" s="10"/>
      <c r="S461" s="26"/>
    </row>
    <row r="462" spans="4:19">
      <c r="D462" s="9"/>
      <c r="F462" s="10"/>
      <c r="G462" s="10"/>
      <c r="H462" s="10"/>
      <c r="I462" s="10"/>
      <c r="J462" s="10"/>
      <c r="S462" s="26"/>
    </row>
    <row r="463" spans="4:19">
      <c r="D463" s="9"/>
      <c r="F463" s="10"/>
      <c r="G463" s="10"/>
      <c r="H463" s="10"/>
      <c r="I463" s="10"/>
      <c r="J463" s="10"/>
      <c r="S463" s="26"/>
    </row>
    <row r="464" spans="4:19">
      <c r="D464" s="9"/>
      <c r="F464" s="10"/>
      <c r="G464" s="10"/>
      <c r="H464" s="10"/>
      <c r="I464" s="10"/>
      <c r="J464" s="10"/>
      <c r="S464" s="26"/>
    </row>
    <row r="465" spans="4:19">
      <c r="D465" s="9"/>
      <c r="F465" s="10"/>
      <c r="G465" s="10"/>
      <c r="H465" s="10"/>
      <c r="I465" s="10"/>
      <c r="J465" s="10"/>
      <c r="S465" s="26"/>
    </row>
    <row r="466" spans="4:19">
      <c r="D466" s="9"/>
      <c r="F466" s="10"/>
      <c r="G466" s="10"/>
      <c r="H466" s="10"/>
      <c r="I466" s="10"/>
      <c r="J466" s="10"/>
      <c r="S466" s="26"/>
    </row>
    <row r="467" spans="4:19">
      <c r="D467" s="9"/>
      <c r="F467" s="10"/>
      <c r="G467" s="10"/>
      <c r="H467" s="10"/>
      <c r="I467" s="10"/>
      <c r="J467" s="10"/>
      <c r="S467" s="26"/>
    </row>
    <row r="468" spans="4:19">
      <c r="D468" s="9"/>
      <c r="F468" s="10"/>
      <c r="G468" s="10"/>
      <c r="H468" s="10"/>
      <c r="I468" s="10"/>
      <c r="J468" s="10"/>
      <c r="S468" s="26"/>
    </row>
    <row r="469" spans="4:19">
      <c r="D469" s="9"/>
      <c r="F469" s="10"/>
      <c r="G469" s="10"/>
      <c r="H469" s="10"/>
      <c r="I469" s="10"/>
      <c r="J469" s="10"/>
      <c r="S469" s="26"/>
    </row>
    <row r="470" spans="4:19">
      <c r="D470" s="9"/>
      <c r="F470" s="10"/>
      <c r="G470" s="10"/>
      <c r="H470" s="10"/>
      <c r="I470" s="10"/>
      <c r="J470" s="10"/>
      <c r="S470" s="26"/>
    </row>
    <row r="471" spans="4:19">
      <c r="D471" s="9"/>
      <c r="F471" s="10"/>
      <c r="G471" s="10"/>
      <c r="H471" s="10"/>
      <c r="I471" s="10"/>
      <c r="J471" s="10"/>
      <c r="S471" s="26"/>
    </row>
    <row r="472" spans="4:19">
      <c r="D472" s="9"/>
      <c r="F472" s="10"/>
      <c r="G472" s="10"/>
      <c r="H472" s="10"/>
      <c r="I472" s="10"/>
      <c r="J472" s="10"/>
      <c r="S472" s="26"/>
    </row>
    <row r="473" spans="4:19">
      <c r="D473" s="9"/>
      <c r="F473" s="10"/>
      <c r="G473" s="10"/>
      <c r="H473" s="10"/>
      <c r="I473" s="10"/>
      <c r="J473" s="10"/>
      <c r="S473" s="26"/>
    </row>
    <row r="474" spans="4:19">
      <c r="D474" s="9"/>
      <c r="F474" s="10"/>
      <c r="G474" s="10"/>
      <c r="H474" s="10"/>
      <c r="I474" s="10"/>
      <c r="J474" s="10"/>
      <c r="S474" s="26"/>
    </row>
    <row r="475" spans="4:19">
      <c r="D475" s="9"/>
      <c r="F475" s="10"/>
      <c r="G475" s="10"/>
      <c r="H475" s="10"/>
      <c r="I475" s="10"/>
      <c r="J475" s="10"/>
      <c r="S475" s="26"/>
    </row>
    <row r="476" spans="4:19">
      <c r="D476" s="9"/>
      <c r="F476" s="10"/>
      <c r="G476" s="10"/>
      <c r="H476" s="10"/>
      <c r="I476" s="10"/>
      <c r="J476" s="10"/>
      <c r="S476" s="26"/>
    </row>
    <row r="477" spans="4:19">
      <c r="D477" s="9"/>
      <c r="F477" s="10"/>
      <c r="G477" s="10"/>
      <c r="H477" s="10"/>
      <c r="I477" s="10"/>
      <c r="J477" s="10"/>
      <c r="S477" s="26"/>
    </row>
    <row r="478" spans="4:19">
      <c r="D478" s="9"/>
      <c r="F478" s="10"/>
      <c r="G478" s="10"/>
      <c r="H478" s="10"/>
      <c r="I478" s="10"/>
      <c r="J478" s="10"/>
      <c r="S478" s="26"/>
    </row>
    <row r="479" spans="4:19">
      <c r="D479" s="9"/>
      <c r="F479" s="10"/>
      <c r="G479" s="10"/>
      <c r="H479" s="10"/>
      <c r="I479" s="10"/>
      <c r="J479" s="10"/>
      <c r="S479" s="26"/>
    </row>
    <row r="480" spans="4:19">
      <c r="D480" s="9"/>
      <c r="F480" s="10"/>
      <c r="G480" s="10"/>
      <c r="H480" s="10"/>
      <c r="I480" s="10"/>
      <c r="J480" s="10"/>
      <c r="S480" s="26"/>
    </row>
    <row r="481" spans="4:19">
      <c r="D481" s="9"/>
      <c r="F481" s="10"/>
      <c r="G481" s="10"/>
      <c r="H481" s="10"/>
      <c r="I481" s="10"/>
      <c r="J481" s="10"/>
      <c r="S481" s="26"/>
    </row>
    <row r="482" spans="4:19">
      <c r="D482" s="9"/>
      <c r="F482" s="10"/>
      <c r="G482" s="10"/>
      <c r="H482" s="10"/>
      <c r="I482" s="10"/>
      <c r="J482" s="10"/>
      <c r="S482" s="26"/>
    </row>
    <row r="483" spans="4:19">
      <c r="D483" s="9"/>
      <c r="F483" s="10"/>
      <c r="G483" s="10"/>
      <c r="H483" s="10"/>
      <c r="I483" s="10"/>
      <c r="J483" s="10"/>
      <c r="S483" s="26"/>
    </row>
    <row r="484" spans="4:19">
      <c r="D484" s="9"/>
      <c r="F484" s="10"/>
      <c r="G484" s="10"/>
      <c r="H484" s="10"/>
      <c r="I484" s="10"/>
      <c r="J484" s="10"/>
      <c r="S484" s="26"/>
    </row>
    <row r="485" spans="4:19">
      <c r="D485" s="9"/>
      <c r="F485" s="10"/>
      <c r="G485" s="10"/>
      <c r="H485" s="10"/>
      <c r="I485" s="10"/>
      <c r="J485" s="10"/>
      <c r="S485" s="26"/>
    </row>
    <row r="486" spans="4:19">
      <c r="D486" s="9"/>
      <c r="F486" s="10"/>
      <c r="G486" s="10"/>
      <c r="H486" s="10"/>
      <c r="I486" s="10"/>
      <c r="J486" s="10"/>
      <c r="S486" s="26"/>
    </row>
    <row r="487" spans="4:19">
      <c r="D487" s="9"/>
      <c r="F487" s="10"/>
      <c r="G487" s="10"/>
      <c r="H487" s="10"/>
      <c r="I487" s="10"/>
      <c r="J487" s="10"/>
      <c r="S487" s="26"/>
    </row>
    <row r="488" spans="4:19">
      <c r="D488" s="9"/>
      <c r="F488" s="10"/>
      <c r="G488" s="10"/>
      <c r="H488" s="10"/>
      <c r="I488" s="10"/>
      <c r="J488" s="10"/>
      <c r="S488" s="26"/>
    </row>
    <row r="489" spans="4:19">
      <c r="D489" s="9"/>
      <c r="F489" s="10"/>
      <c r="G489" s="10"/>
      <c r="H489" s="10"/>
      <c r="I489" s="10"/>
      <c r="J489" s="10"/>
      <c r="S489" s="26"/>
    </row>
    <row r="490" spans="4:19">
      <c r="D490" s="9"/>
      <c r="F490" s="10"/>
      <c r="G490" s="10"/>
      <c r="H490" s="10"/>
      <c r="I490" s="10"/>
      <c r="J490" s="10"/>
      <c r="S490" s="26"/>
    </row>
    <row r="491" spans="4:19">
      <c r="D491" s="9"/>
      <c r="F491" s="10"/>
      <c r="G491" s="10"/>
      <c r="H491" s="10"/>
      <c r="I491" s="10"/>
      <c r="J491" s="10"/>
      <c r="S491" s="26"/>
    </row>
    <row r="492" spans="4:19">
      <c r="D492" s="9"/>
      <c r="F492" s="10"/>
      <c r="G492" s="10"/>
      <c r="H492" s="10"/>
      <c r="I492" s="10"/>
      <c r="J492" s="10"/>
      <c r="S492" s="26"/>
    </row>
    <row r="493" spans="4:19">
      <c r="D493" s="9"/>
      <c r="F493" s="10"/>
      <c r="G493" s="10"/>
      <c r="H493" s="10"/>
      <c r="I493" s="10"/>
      <c r="J493" s="10"/>
      <c r="S493" s="26"/>
    </row>
    <row r="494" spans="4:19">
      <c r="D494" s="9"/>
      <c r="F494" s="10"/>
      <c r="G494" s="10"/>
      <c r="H494" s="10"/>
      <c r="I494" s="10"/>
      <c r="J494" s="10"/>
      <c r="S494" s="26"/>
    </row>
    <row r="495" spans="4:19">
      <c r="D495" s="9"/>
      <c r="F495" s="10"/>
      <c r="G495" s="10"/>
      <c r="H495" s="10"/>
      <c r="I495" s="10"/>
      <c r="J495" s="10"/>
      <c r="S495" s="26"/>
    </row>
    <row r="496" spans="4:19">
      <c r="D496" s="9"/>
      <c r="F496" s="10"/>
      <c r="G496" s="10"/>
      <c r="H496" s="10"/>
      <c r="I496" s="10"/>
      <c r="J496" s="10"/>
      <c r="S496" s="26"/>
    </row>
    <row r="497" spans="4:19">
      <c r="D497" s="9"/>
      <c r="F497" s="10"/>
      <c r="G497" s="10"/>
      <c r="H497" s="10"/>
      <c r="I497" s="10"/>
      <c r="J497" s="10"/>
      <c r="S497" s="26"/>
    </row>
    <row r="498" spans="4:19">
      <c r="D498" s="9"/>
      <c r="F498" s="10"/>
      <c r="G498" s="10"/>
      <c r="H498" s="10"/>
      <c r="I498" s="10"/>
      <c r="J498" s="10"/>
      <c r="S498" s="26"/>
    </row>
    <row r="499" spans="4:19">
      <c r="D499" s="9"/>
      <c r="F499" s="10"/>
      <c r="G499" s="10"/>
      <c r="H499" s="10"/>
      <c r="I499" s="10"/>
      <c r="J499" s="10"/>
      <c r="S499" s="26"/>
    </row>
    <row r="500" spans="4:19">
      <c r="D500" s="9"/>
      <c r="F500" s="10"/>
      <c r="G500" s="10"/>
      <c r="H500" s="10"/>
      <c r="I500" s="10"/>
      <c r="J500" s="10"/>
      <c r="S500" s="26"/>
    </row>
    <row r="501" spans="4:19">
      <c r="D501" s="9"/>
      <c r="F501" s="10"/>
      <c r="G501" s="10"/>
      <c r="H501" s="10"/>
      <c r="I501" s="10"/>
      <c r="J501" s="10"/>
      <c r="S501" s="26"/>
    </row>
    <row r="502" spans="4:19">
      <c r="D502" s="9"/>
      <c r="F502" s="10"/>
      <c r="G502" s="10"/>
      <c r="H502" s="10"/>
      <c r="I502" s="10"/>
      <c r="J502" s="10"/>
      <c r="S502" s="26"/>
    </row>
    <row r="503" spans="4:19">
      <c r="D503" s="9"/>
      <c r="F503" s="10"/>
      <c r="G503" s="10"/>
      <c r="H503" s="10"/>
      <c r="I503" s="10"/>
      <c r="J503" s="10"/>
      <c r="S503" s="26"/>
    </row>
    <row r="504" spans="4:19">
      <c r="D504" s="9"/>
      <c r="F504" s="10"/>
      <c r="G504" s="10"/>
      <c r="H504" s="10"/>
      <c r="I504" s="10"/>
      <c r="J504" s="10"/>
      <c r="S504" s="26"/>
    </row>
    <row r="505" spans="4:19">
      <c r="D505" s="9"/>
      <c r="F505" s="10"/>
      <c r="G505" s="10"/>
      <c r="H505" s="10"/>
      <c r="I505" s="10"/>
      <c r="J505" s="10"/>
      <c r="S505" s="26"/>
    </row>
    <row r="506" spans="4:19">
      <c r="D506" s="9"/>
      <c r="F506" s="10"/>
      <c r="G506" s="10"/>
      <c r="H506" s="10"/>
      <c r="I506" s="10"/>
      <c r="J506" s="10"/>
      <c r="S506" s="26"/>
    </row>
    <row r="507" spans="4:19">
      <c r="D507" s="9"/>
      <c r="F507" s="10"/>
      <c r="G507" s="10"/>
      <c r="H507" s="10"/>
      <c r="I507" s="10"/>
      <c r="J507" s="10"/>
      <c r="S507" s="26"/>
    </row>
    <row r="508" spans="4:19">
      <c r="D508" s="9"/>
      <c r="F508" s="10"/>
      <c r="G508" s="10"/>
      <c r="H508" s="10"/>
      <c r="I508" s="10"/>
      <c r="J508" s="10"/>
      <c r="S508" s="26"/>
    </row>
    <row r="509" spans="4:19">
      <c r="D509" s="9"/>
      <c r="F509" s="10"/>
      <c r="G509" s="10"/>
      <c r="H509" s="10"/>
      <c r="I509" s="10"/>
      <c r="J509" s="10"/>
      <c r="S509" s="26"/>
    </row>
    <row r="510" spans="4:19">
      <c r="D510" s="9"/>
      <c r="F510" s="10"/>
      <c r="G510" s="10"/>
      <c r="H510" s="10"/>
      <c r="I510" s="10"/>
      <c r="J510" s="10"/>
      <c r="S510" s="26"/>
    </row>
    <row r="511" spans="4:19">
      <c r="D511" s="9"/>
      <c r="F511" s="10"/>
      <c r="G511" s="10"/>
      <c r="H511" s="10"/>
      <c r="I511" s="10"/>
      <c r="J511" s="10"/>
      <c r="S511" s="26"/>
    </row>
    <row r="512" spans="4:19">
      <c r="D512" s="9"/>
      <c r="F512" s="10"/>
      <c r="G512" s="10"/>
      <c r="H512" s="10"/>
      <c r="I512" s="10"/>
      <c r="J512" s="10"/>
      <c r="S512" s="26"/>
    </row>
    <row r="513" spans="4:19">
      <c r="D513" s="9"/>
      <c r="F513" s="10"/>
      <c r="G513" s="10"/>
      <c r="H513" s="10"/>
      <c r="I513" s="10"/>
      <c r="J513" s="10"/>
      <c r="S513" s="26"/>
    </row>
    <row r="514" spans="4:19">
      <c r="D514" s="9"/>
      <c r="F514" s="10"/>
      <c r="G514" s="10"/>
      <c r="H514" s="10"/>
      <c r="I514" s="10"/>
      <c r="J514" s="10"/>
      <c r="S514" s="26"/>
    </row>
    <row r="515" spans="4:19">
      <c r="D515" s="9"/>
      <c r="F515" s="10"/>
      <c r="G515" s="10"/>
      <c r="H515" s="10"/>
      <c r="I515" s="10"/>
      <c r="J515" s="10"/>
      <c r="S515" s="26"/>
    </row>
    <row r="516" spans="4:19">
      <c r="D516" s="9"/>
      <c r="F516" s="10"/>
      <c r="G516" s="10"/>
      <c r="H516" s="10"/>
      <c r="I516" s="10"/>
      <c r="J516" s="10"/>
      <c r="S516" s="26"/>
    </row>
    <row r="517" spans="4:19">
      <c r="D517" s="9"/>
      <c r="F517" s="10"/>
      <c r="G517" s="10"/>
      <c r="H517" s="10"/>
      <c r="I517" s="10"/>
      <c r="J517" s="10"/>
      <c r="S517" s="26"/>
    </row>
    <row r="518" spans="4:19">
      <c r="D518" s="9"/>
      <c r="F518" s="10"/>
      <c r="G518" s="10"/>
      <c r="H518" s="10"/>
      <c r="I518" s="10"/>
      <c r="J518" s="10"/>
      <c r="S518" s="26"/>
    </row>
    <row r="519" spans="4:19">
      <c r="D519" s="9"/>
      <c r="F519" s="10"/>
      <c r="G519" s="10"/>
      <c r="H519" s="10"/>
      <c r="I519" s="10"/>
      <c r="J519" s="10"/>
      <c r="S519" s="26"/>
    </row>
    <row r="520" spans="4:19">
      <c r="D520" s="9"/>
      <c r="F520" s="10"/>
      <c r="G520" s="10"/>
      <c r="H520" s="10"/>
      <c r="I520" s="10"/>
      <c r="J520" s="10"/>
      <c r="S520" s="26"/>
    </row>
    <row r="521" spans="4:19">
      <c r="D521" s="9"/>
      <c r="F521" s="10"/>
      <c r="G521" s="10"/>
      <c r="H521" s="10"/>
      <c r="I521" s="10"/>
      <c r="J521" s="10"/>
      <c r="S521" s="26"/>
    </row>
    <row r="522" spans="4:19">
      <c r="D522" s="9"/>
      <c r="F522" s="10"/>
      <c r="G522" s="10"/>
      <c r="H522" s="10"/>
      <c r="I522" s="10"/>
      <c r="J522" s="10"/>
      <c r="S522" s="26"/>
    </row>
    <row r="523" spans="4:19">
      <c r="D523" s="9"/>
      <c r="F523" s="10"/>
      <c r="G523" s="10"/>
      <c r="H523" s="10"/>
      <c r="I523" s="10"/>
      <c r="J523" s="10"/>
      <c r="S523" s="26"/>
    </row>
    <row r="524" spans="4:19">
      <c r="D524" s="9"/>
      <c r="F524" s="10"/>
      <c r="G524" s="10"/>
      <c r="H524" s="10"/>
      <c r="I524" s="10"/>
      <c r="J524" s="10"/>
      <c r="S524" s="26"/>
    </row>
    <row r="525" spans="4:19">
      <c r="D525" s="9"/>
      <c r="F525" s="10"/>
      <c r="G525" s="10"/>
      <c r="H525" s="10"/>
      <c r="I525" s="10"/>
      <c r="J525" s="10"/>
      <c r="S525" s="26"/>
    </row>
    <row r="526" spans="4:19">
      <c r="D526" s="9"/>
      <c r="F526" s="10"/>
      <c r="G526" s="10"/>
      <c r="H526" s="10"/>
      <c r="I526" s="10"/>
      <c r="J526" s="10"/>
      <c r="S526" s="26"/>
    </row>
    <row r="527" spans="4:19">
      <c r="D527" s="9"/>
      <c r="F527" s="10"/>
      <c r="G527" s="10"/>
      <c r="H527" s="10"/>
      <c r="I527" s="10"/>
      <c r="J527" s="10"/>
      <c r="S527" s="26"/>
    </row>
    <row r="528" spans="4:19">
      <c r="D528" s="9"/>
      <c r="F528" s="10"/>
      <c r="G528" s="10"/>
      <c r="H528" s="10"/>
      <c r="I528" s="10"/>
      <c r="J528" s="10"/>
      <c r="S528" s="26"/>
    </row>
    <row r="529" spans="4:19">
      <c r="D529" s="9"/>
      <c r="F529" s="10"/>
      <c r="G529" s="10"/>
      <c r="H529" s="10"/>
      <c r="I529" s="10"/>
      <c r="J529" s="10"/>
      <c r="S529" s="26"/>
    </row>
    <row r="530" spans="4:19">
      <c r="D530" s="9"/>
      <c r="F530" s="10"/>
      <c r="G530" s="10"/>
      <c r="H530" s="10"/>
      <c r="I530" s="10"/>
      <c r="J530" s="10"/>
      <c r="S530" s="26"/>
    </row>
    <row r="531" spans="4:19">
      <c r="D531" s="9"/>
      <c r="F531" s="10"/>
      <c r="G531" s="10"/>
      <c r="H531" s="10"/>
      <c r="I531" s="10"/>
      <c r="J531" s="10"/>
      <c r="S531" s="26"/>
    </row>
    <row r="532" spans="4:19">
      <c r="D532" s="9"/>
      <c r="F532" s="10"/>
      <c r="G532" s="10"/>
      <c r="H532" s="10"/>
      <c r="I532" s="10"/>
      <c r="J532" s="10"/>
      <c r="S532" s="26"/>
    </row>
    <row r="533" spans="4:19">
      <c r="D533" s="9"/>
      <c r="F533" s="10"/>
      <c r="G533" s="10"/>
      <c r="H533" s="10"/>
      <c r="I533" s="10"/>
      <c r="J533" s="10"/>
      <c r="S533" s="26"/>
    </row>
    <row r="534" spans="4:19">
      <c r="D534" s="9"/>
      <c r="F534" s="10"/>
      <c r="G534" s="10"/>
      <c r="H534" s="10"/>
      <c r="I534" s="10"/>
      <c r="J534" s="10"/>
      <c r="S534" s="26"/>
    </row>
    <row r="535" spans="4:19">
      <c r="D535" s="9"/>
      <c r="F535" s="10"/>
      <c r="G535" s="10"/>
      <c r="H535" s="10"/>
      <c r="I535" s="10"/>
      <c r="J535" s="10"/>
      <c r="S535" s="26"/>
    </row>
    <row r="536" spans="4:19">
      <c r="D536" s="9"/>
      <c r="F536" s="10"/>
      <c r="G536" s="10"/>
      <c r="H536" s="10"/>
      <c r="I536" s="10"/>
      <c r="J536" s="10"/>
      <c r="S536" s="26"/>
    </row>
    <row r="537" spans="4:19">
      <c r="D537" s="9"/>
      <c r="F537" s="10"/>
      <c r="G537" s="10"/>
      <c r="H537" s="10"/>
      <c r="I537" s="10"/>
      <c r="J537" s="10"/>
      <c r="S537" s="26"/>
    </row>
    <row r="538" spans="4:19">
      <c r="D538" s="9"/>
      <c r="F538" s="10"/>
      <c r="G538" s="10"/>
      <c r="H538" s="10"/>
      <c r="I538" s="10"/>
      <c r="J538" s="10"/>
      <c r="S538" s="26"/>
    </row>
    <row r="539" spans="4:19">
      <c r="D539" s="9"/>
      <c r="F539" s="10"/>
      <c r="G539" s="10"/>
      <c r="H539" s="10"/>
      <c r="I539" s="10"/>
      <c r="J539" s="10"/>
      <c r="S539" s="26"/>
    </row>
    <row r="540" spans="4:19">
      <c r="D540" s="9"/>
      <c r="F540" s="10"/>
      <c r="G540" s="10"/>
      <c r="H540" s="10"/>
      <c r="I540" s="10"/>
      <c r="J540" s="10"/>
      <c r="S540" s="26"/>
    </row>
    <row r="541" spans="4:19">
      <c r="D541" s="9"/>
      <c r="F541" s="10"/>
      <c r="G541" s="10"/>
      <c r="H541" s="10"/>
      <c r="I541" s="10"/>
      <c r="J541" s="10"/>
      <c r="S541" s="26"/>
    </row>
    <row r="542" spans="4:19">
      <c r="D542" s="9"/>
      <c r="F542" s="10"/>
      <c r="G542" s="10"/>
      <c r="H542" s="10"/>
      <c r="I542" s="10"/>
      <c r="J542" s="10"/>
      <c r="S542" s="26"/>
    </row>
    <row r="543" spans="4:19">
      <c r="D543" s="9"/>
      <c r="F543" s="10"/>
      <c r="G543" s="10"/>
      <c r="H543" s="10"/>
      <c r="I543" s="10"/>
      <c r="J543" s="10"/>
      <c r="S543" s="26"/>
    </row>
    <row r="544" spans="4:19">
      <c r="D544" s="9"/>
      <c r="F544" s="10"/>
      <c r="G544" s="10"/>
      <c r="H544" s="10"/>
      <c r="I544" s="10"/>
      <c r="J544" s="10"/>
      <c r="S544" s="26"/>
    </row>
    <row r="545" spans="4:19">
      <c r="D545" s="9"/>
      <c r="F545" s="10"/>
      <c r="G545" s="10"/>
      <c r="H545" s="10"/>
      <c r="I545" s="10"/>
      <c r="J545" s="10"/>
      <c r="S545" s="26"/>
    </row>
    <row r="546" spans="4:19">
      <c r="D546" s="9"/>
      <c r="F546" s="10"/>
      <c r="G546" s="10"/>
      <c r="H546" s="10"/>
      <c r="I546" s="10"/>
      <c r="J546" s="10"/>
      <c r="S546" s="26"/>
    </row>
    <row r="547" spans="4:19">
      <c r="S547" s="26"/>
    </row>
    <row r="548" spans="4:19">
      <c r="S548" s="26"/>
    </row>
    <row r="549" spans="4:19">
      <c r="S549" s="26"/>
    </row>
    <row r="550" spans="4:19">
      <c r="S550" s="26"/>
    </row>
    <row r="551" spans="4:19">
      <c r="S551" s="26"/>
    </row>
    <row r="552" spans="4:19">
      <c r="S552" s="26"/>
    </row>
    <row r="553" spans="4:19">
      <c r="S553" s="26"/>
    </row>
    <row r="554" spans="4:19">
      <c r="S554" s="26"/>
    </row>
    <row r="555" spans="4:19">
      <c r="S555" s="26"/>
    </row>
    <row r="556" spans="4:19">
      <c r="S556" s="26"/>
    </row>
    <row r="557" spans="4:19">
      <c r="S557" s="26"/>
    </row>
    <row r="558" spans="4:19">
      <c r="S558" s="26"/>
    </row>
    <row r="559" spans="4:19">
      <c r="S559" s="26"/>
    </row>
    <row r="560" spans="4:19">
      <c r="S560" s="26"/>
    </row>
    <row r="561" spans="19:19">
      <c r="S561" s="26"/>
    </row>
    <row r="562" spans="19:19">
      <c r="S562" s="26"/>
    </row>
    <row r="563" spans="19:19">
      <c r="S563" s="26"/>
    </row>
    <row r="564" spans="19:19">
      <c r="S564" s="26"/>
    </row>
    <row r="565" spans="19:19">
      <c r="S565" s="26"/>
    </row>
    <row r="566" spans="19:19">
      <c r="S566" s="26"/>
    </row>
    <row r="567" spans="19:19">
      <c r="S567" s="26"/>
    </row>
    <row r="568" spans="19:19">
      <c r="S568" s="26"/>
    </row>
    <row r="569" spans="19:19">
      <c r="S569" s="26"/>
    </row>
    <row r="570" spans="19:19">
      <c r="S570" s="26"/>
    </row>
    <row r="571" spans="19:19">
      <c r="S571" s="26"/>
    </row>
    <row r="572" spans="19:19">
      <c r="S572" s="26"/>
    </row>
    <row r="573" spans="19:19">
      <c r="S573" s="26"/>
    </row>
    <row r="574" spans="19:19">
      <c r="S574" s="26"/>
    </row>
    <row r="575" spans="19:19">
      <c r="S575" s="26"/>
    </row>
    <row r="576" spans="19:19">
      <c r="S576" s="26"/>
    </row>
    <row r="577" spans="19:19">
      <c r="S577" s="26"/>
    </row>
    <row r="578" spans="19:19">
      <c r="S578" s="26"/>
    </row>
    <row r="579" spans="19:19">
      <c r="S579" s="26"/>
    </row>
  </sheetData>
  <mergeCells count="22">
    <mergeCell ref="D7:K7"/>
    <mergeCell ref="A7:C7"/>
    <mergeCell ref="A1:K1"/>
    <mergeCell ref="A2:C2"/>
    <mergeCell ref="D2:D6"/>
    <mergeCell ref="F2:I2"/>
    <mergeCell ref="J2:K3"/>
    <mergeCell ref="A3:C4"/>
    <mergeCell ref="H3:I3"/>
    <mergeCell ref="F4:K4"/>
    <mergeCell ref="A5:C6"/>
    <mergeCell ref="H5:K5"/>
    <mergeCell ref="F6:K6"/>
    <mergeCell ref="A11:C11"/>
    <mergeCell ref="G11:H11"/>
    <mergeCell ref="I11:K11"/>
    <mergeCell ref="G8:H8"/>
    <mergeCell ref="I8:K8"/>
    <mergeCell ref="G9:H9"/>
    <mergeCell ref="I9:K9"/>
    <mergeCell ref="G10:H10"/>
    <mergeCell ref="I10:K10"/>
  </mergeCells>
  <phoneticPr fontId="2" type="noConversion"/>
  <hyperlinks>
    <hyperlink ref="F6" r:id="rId1" xr:uid="{00000000-0004-0000-0000-000000000000}"/>
  </hyperlinks>
  <printOptions horizontalCentered="1"/>
  <pageMargins left="0" right="0" top="0.55118110236220474" bottom="0.27559055118110237" header="0.27559055118110237" footer="0.15748031496062992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운반비</vt:lpstr>
      <vt:lpstr>운반비!Print_Area</vt:lpstr>
      <vt:lpstr>운반비!Print_Titles</vt:lpstr>
    </vt:vector>
  </TitlesOfParts>
  <Company>^^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^^</dc:creator>
  <cp:lastModifiedBy>82103</cp:lastModifiedBy>
  <cp:lastPrinted>2023-02-28T01:28:46Z</cp:lastPrinted>
  <dcterms:created xsi:type="dcterms:W3CDTF">2007-05-23T00:22:08Z</dcterms:created>
  <dcterms:modified xsi:type="dcterms:W3CDTF">2023-05-29T01:40:55Z</dcterms:modified>
</cp:coreProperties>
</file>